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pheremedical.local\users\rstev\Desktop\AdventOfCode\2018\"/>
    </mc:Choice>
  </mc:AlternateContent>
  <xr:revisionPtr revIDLastSave="0" documentId="13_ncr:1_{026F0776-1F26-449F-BF8B-17F904E0055E}" xr6:coauthVersionLast="40" xr6:coauthVersionMax="40" xr10:uidLastSave="{00000000-0000-0000-0000-000000000000}"/>
  <bookViews>
    <workbookView xWindow="0" yWindow="0" windowWidth="15345" windowHeight="5865" xr2:uid="{A323C416-DC96-497F-8C2E-4C87C9EE7528}"/>
  </bookViews>
  <sheets>
    <sheet name="Sheet1 (2)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" l="1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B33" i="2"/>
  <c r="C33" i="2"/>
  <c r="D33" i="2"/>
  <c r="E33" i="2"/>
  <c r="B34" i="2"/>
  <c r="C34" i="2"/>
  <c r="D34" i="2"/>
  <c r="E34" i="2"/>
  <c r="B35" i="2"/>
  <c r="C35" i="2"/>
  <c r="D35" i="2"/>
  <c r="E35" i="2"/>
  <c r="B36" i="2"/>
  <c r="C36" i="2"/>
  <c r="D36" i="2"/>
  <c r="E36" i="2"/>
  <c r="B37" i="2"/>
  <c r="C37" i="2"/>
  <c r="D37" i="2"/>
  <c r="E37" i="2"/>
  <c r="B38" i="2"/>
  <c r="C38" i="2"/>
  <c r="D38" i="2"/>
  <c r="E38" i="2"/>
  <c r="B39" i="2"/>
  <c r="C39" i="2"/>
  <c r="D39" i="2"/>
  <c r="E39" i="2"/>
  <c r="B40" i="2"/>
  <c r="C40" i="2"/>
  <c r="D40" i="2"/>
  <c r="E40" i="2"/>
  <c r="B41" i="2"/>
  <c r="C41" i="2"/>
  <c r="D41" i="2"/>
  <c r="E41" i="2"/>
  <c r="B42" i="2"/>
  <c r="C42" i="2"/>
  <c r="D42" i="2"/>
  <c r="E42" i="2"/>
  <c r="B43" i="2"/>
  <c r="C43" i="2"/>
  <c r="D43" i="2"/>
  <c r="E43" i="2"/>
  <c r="B44" i="2"/>
  <c r="C44" i="2"/>
  <c r="D44" i="2"/>
  <c r="E44" i="2"/>
  <c r="B45" i="2"/>
  <c r="C45" i="2"/>
  <c r="D45" i="2"/>
  <c r="E45" i="2"/>
  <c r="B46" i="2"/>
  <c r="C46" i="2"/>
  <c r="D46" i="2"/>
  <c r="E46" i="2"/>
  <c r="B47" i="2"/>
  <c r="C47" i="2"/>
  <c r="D47" i="2"/>
  <c r="E47" i="2"/>
  <c r="B48" i="2"/>
  <c r="C48" i="2"/>
  <c r="D48" i="2"/>
  <c r="E48" i="2"/>
  <c r="B49" i="2"/>
  <c r="C49" i="2"/>
  <c r="D49" i="2"/>
  <c r="E49" i="2"/>
  <c r="B50" i="2"/>
  <c r="C50" i="2"/>
  <c r="D50" i="2"/>
  <c r="E50" i="2"/>
  <c r="B51" i="2"/>
  <c r="C51" i="2"/>
  <c r="D51" i="2"/>
  <c r="E51" i="2"/>
  <c r="B52" i="2"/>
  <c r="C52" i="2"/>
  <c r="D52" i="2"/>
  <c r="E52" i="2"/>
  <c r="B53" i="2"/>
  <c r="C53" i="2"/>
  <c r="D53" i="2"/>
  <c r="E53" i="2"/>
  <c r="B54" i="2"/>
  <c r="C54" i="2"/>
  <c r="D54" i="2"/>
  <c r="E54" i="2"/>
  <c r="B55" i="2"/>
  <c r="C55" i="2"/>
  <c r="D55" i="2"/>
  <c r="E55" i="2"/>
  <c r="B56" i="2"/>
  <c r="C56" i="2"/>
  <c r="D56" i="2"/>
  <c r="E56" i="2"/>
  <c r="B57" i="2"/>
  <c r="C57" i="2"/>
  <c r="D57" i="2"/>
  <c r="E57" i="2"/>
  <c r="B58" i="2"/>
  <c r="C58" i="2"/>
  <c r="D58" i="2"/>
  <c r="E58" i="2"/>
  <c r="B59" i="2"/>
  <c r="C59" i="2"/>
  <c r="D59" i="2"/>
  <c r="E59" i="2"/>
  <c r="B60" i="2"/>
  <c r="C60" i="2"/>
  <c r="D60" i="2"/>
  <c r="E60" i="2"/>
  <c r="B61" i="2"/>
  <c r="C61" i="2"/>
  <c r="D61" i="2"/>
  <c r="E61" i="2"/>
  <c r="B62" i="2"/>
  <c r="C62" i="2"/>
  <c r="D62" i="2"/>
  <c r="E62" i="2"/>
  <c r="B63" i="2"/>
  <c r="C63" i="2"/>
  <c r="D63" i="2"/>
  <c r="E63" i="2"/>
  <c r="B64" i="2"/>
  <c r="C64" i="2"/>
  <c r="D64" i="2"/>
  <c r="E64" i="2"/>
  <c r="B65" i="2"/>
  <c r="C65" i="2"/>
  <c r="D65" i="2"/>
  <c r="E65" i="2"/>
  <c r="B66" i="2"/>
  <c r="C66" i="2"/>
  <c r="D66" i="2"/>
  <c r="E66" i="2"/>
  <c r="B67" i="2"/>
  <c r="C67" i="2"/>
  <c r="D67" i="2"/>
  <c r="E67" i="2"/>
  <c r="B68" i="2"/>
  <c r="C68" i="2"/>
  <c r="D68" i="2"/>
  <c r="E68" i="2"/>
  <c r="B69" i="2"/>
  <c r="C69" i="2"/>
  <c r="D69" i="2"/>
  <c r="E69" i="2"/>
  <c r="B70" i="2"/>
  <c r="C70" i="2"/>
  <c r="D70" i="2"/>
  <c r="E70" i="2"/>
  <c r="B71" i="2"/>
  <c r="C71" i="2"/>
  <c r="D71" i="2"/>
  <c r="E71" i="2"/>
  <c r="B72" i="2"/>
  <c r="C72" i="2"/>
  <c r="D72" i="2"/>
  <c r="E72" i="2"/>
  <c r="B73" i="2"/>
  <c r="C73" i="2"/>
  <c r="D73" i="2"/>
  <c r="E73" i="2"/>
  <c r="B74" i="2"/>
  <c r="C74" i="2"/>
  <c r="D74" i="2"/>
  <c r="E74" i="2"/>
  <c r="B75" i="2"/>
  <c r="C75" i="2"/>
  <c r="D75" i="2"/>
  <c r="E75" i="2"/>
  <c r="B76" i="2"/>
  <c r="C76" i="2"/>
  <c r="D76" i="2"/>
  <c r="E76" i="2"/>
  <c r="B77" i="2"/>
  <c r="C77" i="2"/>
  <c r="D77" i="2"/>
  <c r="E77" i="2"/>
  <c r="B78" i="2"/>
  <c r="C78" i="2"/>
  <c r="D78" i="2"/>
  <c r="E78" i="2"/>
  <c r="B79" i="2"/>
  <c r="C79" i="2"/>
  <c r="D79" i="2"/>
  <c r="E79" i="2"/>
  <c r="B80" i="2"/>
  <c r="C80" i="2"/>
  <c r="D80" i="2"/>
  <c r="E80" i="2"/>
  <c r="B81" i="2"/>
  <c r="C81" i="2"/>
  <c r="D81" i="2"/>
  <c r="E81" i="2"/>
  <c r="B82" i="2"/>
  <c r="C82" i="2"/>
  <c r="D82" i="2"/>
  <c r="E82" i="2"/>
  <c r="B83" i="2"/>
  <c r="C83" i="2"/>
  <c r="D83" i="2"/>
  <c r="E83" i="2"/>
  <c r="B84" i="2"/>
  <c r="C84" i="2"/>
  <c r="D84" i="2"/>
  <c r="E84" i="2"/>
  <c r="B85" i="2"/>
  <c r="C85" i="2"/>
  <c r="D85" i="2"/>
  <c r="E85" i="2"/>
  <c r="B86" i="2"/>
  <c r="C86" i="2"/>
  <c r="D86" i="2"/>
  <c r="E86" i="2"/>
  <c r="B87" i="2"/>
  <c r="C87" i="2"/>
  <c r="D87" i="2"/>
  <c r="E87" i="2"/>
  <c r="B88" i="2"/>
  <c r="C88" i="2"/>
  <c r="D88" i="2"/>
  <c r="E88" i="2"/>
  <c r="B89" i="2"/>
  <c r="C89" i="2"/>
  <c r="D89" i="2"/>
  <c r="E89" i="2"/>
  <c r="B90" i="2"/>
  <c r="C90" i="2"/>
  <c r="D90" i="2"/>
  <c r="E90" i="2"/>
  <c r="B91" i="2"/>
  <c r="C91" i="2"/>
  <c r="D91" i="2"/>
  <c r="E91" i="2"/>
  <c r="B92" i="2"/>
  <c r="C92" i="2"/>
  <c r="D92" i="2"/>
  <c r="E92" i="2"/>
  <c r="B93" i="2"/>
  <c r="C93" i="2"/>
  <c r="D93" i="2"/>
  <c r="E93" i="2"/>
  <c r="B94" i="2"/>
  <c r="C94" i="2"/>
  <c r="D94" i="2"/>
  <c r="E94" i="2"/>
  <c r="B95" i="2"/>
  <c r="C95" i="2"/>
  <c r="D95" i="2"/>
  <c r="E95" i="2"/>
  <c r="B96" i="2"/>
  <c r="C96" i="2"/>
  <c r="D96" i="2"/>
  <c r="E96" i="2"/>
  <c r="B97" i="2"/>
  <c r="C97" i="2"/>
  <c r="D97" i="2"/>
  <c r="E97" i="2"/>
  <c r="B98" i="2"/>
  <c r="C98" i="2"/>
  <c r="D98" i="2"/>
  <c r="E98" i="2"/>
  <c r="B99" i="2"/>
  <c r="C99" i="2"/>
  <c r="D99" i="2"/>
  <c r="E99" i="2"/>
  <c r="B100" i="2"/>
  <c r="C100" i="2"/>
  <c r="D100" i="2"/>
  <c r="E100" i="2"/>
  <c r="B101" i="2"/>
  <c r="C101" i="2"/>
  <c r="D101" i="2"/>
  <c r="E101" i="2"/>
  <c r="B102" i="2"/>
  <c r="C102" i="2"/>
  <c r="D102" i="2"/>
  <c r="E102" i="2"/>
  <c r="B103" i="2"/>
  <c r="C103" i="2"/>
  <c r="D103" i="2"/>
  <c r="E103" i="2"/>
  <c r="B104" i="2"/>
  <c r="C104" i="2"/>
  <c r="D104" i="2"/>
  <c r="E104" i="2"/>
  <c r="B105" i="2"/>
  <c r="C105" i="2"/>
  <c r="D105" i="2"/>
  <c r="E105" i="2"/>
  <c r="B106" i="2"/>
  <c r="C106" i="2"/>
  <c r="D106" i="2"/>
  <c r="E106" i="2"/>
  <c r="B107" i="2"/>
  <c r="C107" i="2"/>
  <c r="D107" i="2"/>
  <c r="E107" i="2"/>
  <c r="B108" i="2"/>
  <c r="C108" i="2"/>
  <c r="D108" i="2"/>
  <c r="E108" i="2"/>
  <c r="B109" i="2"/>
  <c r="C109" i="2"/>
  <c r="D109" i="2"/>
  <c r="E109" i="2"/>
  <c r="B110" i="2"/>
  <c r="C110" i="2"/>
  <c r="D110" i="2"/>
  <c r="E110" i="2"/>
  <c r="B111" i="2"/>
  <c r="C111" i="2"/>
  <c r="D111" i="2"/>
  <c r="E111" i="2"/>
  <c r="B112" i="2"/>
  <c r="C112" i="2"/>
  <c r="D112" i="2"/>
  <c r="E112" i="2"/>
  <c r="B113" i="2"/>
  <c r="C113" i="2"/>
  <c r="D113" i="2"/>
  <c r="E113" i="2"/>
  <c r="B114" i="2"/>
  <c r="C114" i="2"/>
  <c r="D114" i="2"/>
  <c r="E114" i="2"/>
  <c r="B115" i="2"/>
  <c r="C115" i="2"/>
  <c r="D115" i="2"/>
  <c r="E115" i="2"/>
  <c r="B116" i="2"/>
  <c r="C116" i="2"/>
  <c r="D116" i="2"/>
  <c r="E116" i="2"/>
  <c r="B117" i="2"/>
  <c r="C117" i="2"/>
  <c r="D117" i="2"/>
  <c r="E117" i="2"/>
  <c r="B118" i="2"/>
  <c r="C118" i="2"/>
  <c r="D118" i="2"/>
  <c r="E118" i="2"/>
  <c r="B119" i="2"/>
  <c r="C119" i="2"/>
  <c r="D119" i="2"/>
  <c r="E119" i="2"/>
  <c r="B120" i="2"/>
  <c r="C120" i="2"/>
  <c r="D120" i="2"/>
  <c r="E120" i="2"/>
  <c r="B121" i="2"/>
  <c r="C121" i="2"/>
  <c r="D121" i="2"/>
  <c r="E121" i="2"/>
  <c r="B122" i="2"/>
  <c r="C122" i="2"/>
  <c r="D122" i="2"/>
  <c r="E122" i="2"/>
  <c r="B123" i="2"/>
  <c r="C123" i="2"/>
  <c r="D123" i="2"/>
  <c r="E123" i="2"/>
  <c r="B124" i="2"/>
  <c r="C124" i="2"/>
  <c r="D124" i="2"/>
  <c r="E124" i="2"/>
  <c r="B125" i="2"/>
  <c r="C125" i="2"/>
  <c r="D125" i="2"/>
  <c r="E125" i="2"/>
  <c r="B126" i="2"/>
  <c r="C126" i="2"/>
  <c r="D126" i="2"/>
  <c r="E126" i="2"/>
  <c r="B127" i="2"/>
  <c r="C127" i="2"/>
  <c r="D127" i="2"/>
  <c r="E127" i="2"/>
  <c r="B128" i="2"/>
  <c r="C128" i="2"/>
  <c r="D128" i="2"/>
  <c r="E128" i="2"/>
  <c r="B129" i="2"/>
  <c r="C129" i="2"/>
  <c r="D129" i="2"/>
  <c r="E129" i="2"/>
  <c r="B130" i="2"/>
  <c r="C130" i="2"/>
  <c r="D130" i="2"/>
  <c r="E130" i="2"/>
  <c r="B131" i="2"/>
  <c r="C131" i="2"/>
  <c r="D131" i="2"/>
  <c r="E131" i="2"/>
  <c r="B132" i="2"/>
  <c r="C132" i="2"/>
  <c r="D132" i="2"/>
  <c r="E132" i="2"/>
  <c r="B133" i="2"/>
  <c r="C133" i="2"/>
  <c r="D133" i="2"/>
  <c r="E133" i="2"/>
  <c r="B134" i="2"/>
  <c r="C134" i="2"/>
  <c r="D134" i="2"/>
  <c r="E134" i="2"/>
  <c r="B135" i="2"/>
  <c r="C135" i="2"/>
  <c r="D135" i="2"/>
  <c r="E135" i="2"/>
  <c r="B136" i="2"/>
  <c r="C136" i="2"/>
  <c r="D136" i="2"/>
  <c r="E136" i="2"/>
  <c r="B137" i="2"/>
  <c r="C137" i="2"/>
  <c r="D137" i="2"/>
  <c r="E137" i="2"/>
  <c r="B138" i="2"/>
  <c r="C138" i="2"/>
  <c r="D138" i="2"/>
  <c r="E138" i="2"/>
  <c r="B139" i="2"/>
  <c r="C139" i="2"/>
  <c r="D139" i="2"/>
  <c r="E139" i="2"/>
  <c r="B140" i="2"/>
  <c r="C140" i="2"/>
  <c r="D140" i="2"/>
  <c r="E140" i="2"/>
  <c r="B141" i="2"/>
  <c r="C141" i="2"/>
  <c r="D141" i="2"/>
  <c r="E141" i="2"/>
  <c r="B142" i="2"/>
  <c r="C142" i="2"/>
  <c r="D142" i="2"/>
  <c r="E142" i="2"/>
  <c r="B143" i="2"/>
  <c r="C143" i="2"/>
  <c r="D143" i="2"/>
  <c r="E143" i="2"/>
  <c r="B144" i="2"/>
  <c r="C144" i="2"/>
  <c r="D144" i="2"/>
  <c r="E144" i="2"/>
  <c r="B145" i="2"/>
  <c r="C145" i="2"/>
  <c r="D145" i="2"/>
  <c r="E145" i="2"/>
  <c r="B146" i="2"/>
  <c r="C146" i="2"/>
  <c r="D146" i="2"/>
  <c r="E146" i="2"/>
  <c r="B147" i="2"/>
  <c r="C147" i="2"/>
  <c r="D147" i="2"/>
  <c r="E147" i="2"/>
  <c r="B148" i="2"/>
  <c r="C148" i="2"/>
  <c r="D148" i="2"/>
  <c r="E148" i="2"/>
  <c r="B149" i="2"/>
  <c r="C149" i="2"/>
  <c r="D149" i="2"/>
  <c r="E149" i="2"/>
  <c r="B150" i="2"/>
  <c r="C150" i="2"/>
  <c r="D150" i="2"/>
  <c r="E150" i="2"/>
  <c r="B151" i="2"/>
  <c r="C151" i="2"/>
  <c r="D151" i="2"/>
  <c r="E151" i="2"/>
  <c r="B152" i="2"/>
  <c r="C152" i="2"/>
  <c r="D152" i="2"/>
  <c r="E152" i="2"/>
  <c r="B153" i="2"/>
  <c r="C153" i="2"/>
  <c r="D153" i="2"/>
  <c r="E153" i="2"/>
  <c r="B154" i="2"/>
  <c r="C154" i="2"/>
  <c r="D154" i="2"/>
  <c r="E154" i="2"/>
  <c r="B155" i="2"/>
  <c r="C155" i="2"/>
  <c r="D155" i="2"/>
  <c r="E155" i="2"/>
  <c r="B156" i="2"/>
  <c r="C156" i="2"/>
  <c r="D156" i="2"/>
  <c r="E156" i="2"/>
  <c r="B157" i="2"/>
  <c r="C157" i="2"/>
  <c r="D157" i="2"/>
  <c r="E157" i="2"/>
  <c r="B158" i="2"/>
  <c r="C158" i="2"/>
  <c r="D158" i="2"/>
  <c r="E158" i="2"/>
  <c r="B159" i="2"/>
  <c r="C159" i="2"/>
  <c r="D159" i="2"/>
  <c r="E159" i="2"/>
  <c r="B160" i="2"/>
  <c r="C160" i="2"/>
  <c r="D160" i="2"/>
  <c r="E160" i="2"/>
  <c r="B161" i="2"/>
  <c r="C161" i="2"/>
  <c r="D161" i="2"/>
  <c r="E161" i="2"/>
  <c r="B162" i="2"/>
  <c r="C162" i="2"/>
  <c r="D162" i="2"/>
  <c r="E162" i="2"/>
  <c r="B163" i="2"/>
  <c r="C163" i="2"/>
  <c r="D163" i="2"/>
  <c r="E163" i="2"/>
  <c r="B164" i="2"/>
  <c r="C164" i="2"/>
  <c r="D164" i="2"/>
  <c r="E164" i="2"/>
  <c r="B165" i="2"/>
  <c r="C165" i="2"/>
  <c r="D165" i="2"/>
  <c r="E165" i="2"/>
  <c r="B166" i="2"/>
  <c r="C166" i="2"/>
  <c r="D166" i="2"/>
  <c r="E166" i="2"/>
  <c r="B167" i="2"/>
  <c r="C167" i="2"/>
  <c r="D167" i="2"/>
  <c r="E167" i="2"/>
  <c r="B168" i="2"/>
  <c r="C168" i="2"/>
  <c r="D168" i="2"/>
  <c r="E168" i="2"/>
  <c r="B169" i="2"/>
  <c r="C169" i="2"/>
  <c r="D169" i="2"/>
  <c r="E169" i="2"/>
  <c r="B170" i="2"/>
  <c r="C170" i="2"/>
  <c r="D170" i="2"/>
  <c r="E170" i="2"/>
  <c r="B171" i="2"/>
  <c r="C171" i="2"/>
  <c r="D171" i="2"/>
  <c r="E171" i="2"/>
  <c r="B172" i="2"/>
  <c r="C172" i="2"/>
  <c r="D172" i="2"/>
  <c r="E172" i="2"/>
  <c r="B173" i="2"/>
  <c r="C173" i="2"/>
  <c r="D173" i="2"/>
  <c r="E173" i="2"/>
  <c r="B174" i="2"/>
  <c r="C174" i="2"/>
  <c r="D174" i="2"/>
  <c r="E174" i="2"/>
  <c r="B175" i="2"/>
  <c r="C175" i="2"/>
  <c r="D175" i="2"/>
  <c r="E175" i="2"/>
  <c r="B176" i="2"/>
  <c r="C176" i="2"/>
  <c r="D176" i="2"/>
  <c r="E176" i="2"/>
  <c r="B177" i="2"/>
  <c r="C177" i="2"/>
  <c r="D177" i="2"/>
  <c r="E177" i="2"/>
  <c r="B178" i="2"/>
  <c r="C178" i="2"/>
  <c r="D178" i="2"/>
  <c r="E178" i="2"/>
  <c r="B179" i="2"/>
  <c r="C179" i="2"/>
  <c r="D179" i="2"/>
  <c r="E179" i="2"/>
  <c r="B180" i="2"/>
  <c r="C180" i="2"/>
  <c r="D180" i="2"/>
  <c r="E180" i="2"/>
  <c r="B181" i="2"/>
  <c r="C181" i="2"/>
  <c r="D181" i="2"/>
  <c r="E181" i="2"/>
  <c r="B182" i="2"/>
  <c r="C182" i="2"/>
  <c r="D182" i="2"/>
  <c r="E182" i="2"/>
  <c r="B183" i="2"/>
  <c r="C183" i="2"/>
  <c r="D183" i="2"/>
  <c r="E183" i="2"/>
  <c r="B184" i="2"/>
  <c r="C184" i="2"/>
  <c r="D184" i="2"/>
  <c r="E184" i="2"/>
  <c r="B185" i="2"/>
  <c r="C185" i="2"/>
  <c r="D185" i="2"/>
  <c r="E185" i="2"/>
  <c r="B186" i="2"/>
  <c r="C186" i="2"/>
  <c r="D186" i="2"/>
  <c r="E186" i="2"/>
  <c r="B187" i="2"/>
  <c r="C187" i="2"/>
  <c r="D187" i="2"/>
  <c r="E187" i="2"/>
  <c r="B188" i="2"/>
  <c r="C188" i="2"/>
  <c r="D188" i="2"/>
  <c r="E188" i="2"/>
  <c r="B189" i="2"/>
  <c r="C189" i="2"/>
  <c r="D189" i="2"/>
  <c r="E189" i="2"/>
  <c r="B190" i="2"/>
  <c r="C190" i="2"/>
  <c r="D190" i="2"/>
  <c r="E190" i="2"/>
  <c r="B191" i="2"/>
  <c r="C191" i="2"/>
  <c r="D191" i="2"/>
  <c r="E191" i="2"/>
  <c r="B192" i="2"/>
  <c r="C192" i="2"/>
  <c r="D192" i="2"/>
  <c r="E192" i="2"/>
  <c r="B193" i="2"/>
  <c r="C193" i="2"/>
  <c r="D193" i="2"/>
  <c r="E193" i="2"/>
  <c r="B194" i="2"/>
  <c r="C194" i="2"/>
  <c r="D194" i="2"/>
  <c r="E194" i="2"/>
  <c r="B195" i="2"/>
  <c r="C195" i="2"/>
  <c r="D195" i="2"/>
  <c r="E195" i="2"/>
  <c r="B196" i="2"/>
  <c r="C196" i="2"/>
  <c r="D196" i="2"/>
  <c r="E196" i="2"/>
  <c r="B197" i="2"/>
  <c r="C197" i="2"/>
  <c r="D197" i="2"/>
  <c r="E197" i="2"/>
  <c r="B198" i="2"/>
  <c r="C198" i="2"/>
  <c r="D198" i="2"/>
  <c r="E198" i="2"/>
  <c r="B199" i="2"/>
  <c r="C199" i="2"/>
  <c r="D199" i="2"/>
  <c r="E199" i="2"/>
  <c r="B200" i="2"/>
  <c r="C200" i="2"/>
  <c r="D200" i="2"/>
  <c r="E200" i="2"/>
  <c r="B201" i="2"/>
  <c r="C201" i="2"/>
  <c r="D201" i="2"/>
  <c r="E201" i="2"/>
  <c r="B202" i="2"/>
  <c r="C202" i="2"/>
  <c r="D202" i="2"/>
  <c r="E202" i="2"/>
  <c r="B203" i="2"/>
  <c r="C203" i="2"/>
  <c r="D203" i="2"/>
  <c r="E203" i="2"/>
  <c r="B204" i="2"/>
  <c r="C204" i="2"/>
  <c r="D204" i="2"/>
  <c r="E204" i="2"/>
  <c r="B205" i="2"/>
  <c r="C205" i="2"/>
  <c r="D205" i="2"/>
  <c r="E205" i="2"/>
  <c r="B206" i="2"/>
  <c r="C206" i="2"/>
  <c r="D206" i="2"/>
  <c r="E206" i="2"/>
  <c r="B207" i="2"/>
  <c r="C207" i="2"/>
  <c r="D207" i="2"/>
  <c r="E207" i="2"/>
  <c r="B208" i="2"/>
  <c r="C208" i="2"/>
  <c r="D208" i="2"/>
  <c r="E208" i="2"/>
  <c r="B209" i="2"/>
  <c r="C209" i="2"/>
  <c r="D209" i="2"/>
  <c r="E209" i="2"/>
  <c r="B210" i="2"/>
  <c r="C210" i="2"/>
  <c r="D210" i="2"/>
  <c r="E210" i="2"/>
  <c r="B211" i="2"/>
  <c r="C211" i="2"/>
  <c r="D211" i="2"/>
  <c r="E211" i="2"/>
  <c r="B212" i="2"/>
  <c r="C212" i="2"/>
  <c r="D212" i="2"/>
  <c r="E212" i="2"/>
  <c r="B213" i="2"/>
  <c r="C213" i="2"/>
  <c r="D213" i="2"/>
  <c r="E213" i="2"/>
  <c r="B214" i="2"/>
  <c r="C214" i="2"/>
  <c r="D214" i="2"/>
  <c r="E214" i="2"/>
  <c r="B215" i="2"/>
  <c r="C215" i="2"/>
  <c r="D215" i="2"/>
  <c r="E215" i="2"/>
  <c r="B216" i="2"/>
  <c r="C216" i="2"/>
  <c r="D216" i="2"/>
  <c r="E216" i="2"/>
  <c r="B217" i="2"/>
  <c r="C217" i="2"/>
  <c r="D217" i="2"/>
  <c r="E217" i="2"/>
  <c r="B218" i="2"/>
  <c r="C218" i="2"/>
  <c r="D218" i="2"/>
  <c r="E218" i="2"/>
  <c r="B219" i="2"/>
  <c r="C219" i="2"/>
  <c r="D219" i="2"/>
  <c r="E219" i="2"/>
  <c r="B220" i="2"/>
  <c r="C220" i="2"/>
  <c r="D220" i="2"/>
  <c r="E220" i="2"/>
  <c r="B221" i="2"/>
  <c r="C221" i="2"/>
  <c r="D221" i="2"/>
  <c r="E221" i="2"/>
  <c r="B222" i="2"/>
  <c r="C222" i="2"/>
  <c r="D222" i="2"/>
  <c r="E222" i="2"/>
  <c r="B223" i="2"/>
  <c r="C223" i="2"/>
  <c r="D223" i="2"/>
  <c r="E223" i="2"/>
  <c r="B224" i="2"/>
  <c r="C224" i="2"/>
  <c r="D224" i="2"/>
  <c r="E224" i="2"/>
  <c r="B225" i="2"/>
  <c r="C225" i="2"/>
  <c r="D225" i="2"/>
  <c r="E225" i="2"/>
  <c r="B226" i="2"/>
  <c r="C226" i="2"/>
  <c r="D226" i="2"/>
  <c r="E226" i="2"/>
  <c r="B227" i="2"/>
  <c r="C227" i="2"/>
  <c r="D227" i="2"/>
  <c r="E227" i="2"/>
  <c r="B228" i="2"/>
  <c r="C228" i="2"/>
  <c r="D228" i="2"/>
  <c r="E228" i="2"/>
  <c r="B229" i="2"/>
  <c r="C229" i="2"/>
  <c r="D229" i="2"/>
  <c r="E229" i="2"/>
  <c r="B230" i="2"/>
  <c r="C230" i="2"/>
  <c r="D230" i="2"/>
  <c r="E230" i="2"/>
  <c r="B231" i="2"/>
  <c r="C231" i="2"/>
  <c r="D231" i="2"/>
  <c r="E231" i="2"/>
  <c r="B232" i="2"/>
  <c r="C232" i="2"/>
  <c r="D232" i="2"/>
  <c r="E232" i="2"/>
  <c r="B233" i="2"/>
  <c r="C233" i="2"/>
  <c r="D233" i="2"/>
  <c r="E233" i="2"/>
  <c r="B234" i="2"/>
  <c r="C234" i="2"/>
  <c r="D234" i="2"/>
  <c r="E234" i="2"/>
  <c r="B235" i="2"/>
  <c r="C235" i="2"/>
  <c r="D235" i="2"/>
  <c r="E235" i="2"/>
  <c r="B236" i="2"/>
  <c r="C236" i="2"/>
  <c r="D236" i="2"/>
  <c r="E236" i="2"/>
  <c r="B237" i="2"/>
  <c r="C237" i="2"/>
  <c r="D237" i="2"/>
  <c r="E237" i="2"/>
  <c r="B238" i="2"/>
  <c r="C238" i="2"/>
  <c r="D238" i="2"/>
  <c r="E238" i="2"/>
  <c r="B239" i="2"/>
  <c r="C239" i="2"/>
  <c r="D239" i="2"/>
  <c r="E239" i="2"/>
  <c r="B240" i="2"/>
  <c r="C240" i="2"/>
  <c r="D240" i="2"/>
  <c r="E240" i="2"/>
  <c r="B241" i="2"/>
  <c r="C241" i="2"/>
  <c r="D241" i="2"/>
  <c r="E241" i="2"/>
  <c r="B242" i="2"/>
  <c r="C242" i="2"/>
  <c r="D242" i="2"/>
  <c r="E242" i="2"/>
  <c r="B243" i="2"/>
  <c r="C243" i="2"/>
  <c r="D243" i="2"/>
  <c r="E243" i="2"/>
  <c r="B244" i="2"/>
  <c r="C244" i="2"/>
  <c r="D244" i="2"/>
  <c r="E244" i="2"/>
  <c r="B245" i="2"/>
  <c r="C245" i="2"/>
  <c r="D245" i="2"/>
  <c r="E245" i="2"/>
  <c r="B246" i="2"/>
  <c r="C246" i="2"/>
  <c r="D246" i="2"/>
  <c r="E246" i="2"/>
  <c r="B247" i="2"/>
  <c r="C247" i="2"/>
  <c r="D247" i="2"/>
  <c r="E247" i="2"/>
  <c r="B248" i="2"/>
  <c r="C248" i="2"/>
  <c r="D248" i="2"/>
  <c r="E248" i="2"/>
  <c r="B249" i="2"/>
  <c r="C249" i="2"/>
  <c r="D249" i="2"/>
  <c r="E249" i="2"/>
  <c r="B250" i="2"/>
  <c r="C250" i="2"/>
  <c r="D250" i="2"/>
  <c r="E250" i="2"/>
  <c r="B251" i="2"/>
  <c r="C251" i="2"/>
  <c r="D251" i="2"/>
  <c r="E251" i="2"/>
  <c r="B252" i="2"/>
  <c r="C252" i="2"/>
  <c r="D252" i="2"/>
  <c r="E252" i="2"/>
  <c r="B253" i="2"/>
  <c r="C253" i="2"/>
  <c r="D253" i="2"/>
  <c r="E253" i="2"/>
  <c r="B254" i="2"/>
  <c r="C254" i="2"/>
  <c r="D254" i="2"/>
  <c r="E254" i="2"/>
  <c r="B255" i="2"/>
  <c r="C255" i="2"/>
  <c r="D255" i="2"/>
  <c r="E255" i="2"/>
  <c r="B256" i="2"/>
  <c r="C256" i="2"/>
  <c r="D256" i="2"/>
  <c r="E256" i="2"/>
  <c r="B257" i="2"/>
  <c r="C257" i="2"/>
  <c r="D257" i="2"/>
  <c r="E257" i="2"/>
  <c r="B258" i="2"/>
  <c r="C258" i="2"/>
  <c r="D258" i="2"/>
  <c r="E258" i="2"/>
  <c r="B259" i="2"/>
  <c r="C259" i="2"/>
  <c r="D259" i="2"/>
  <c r="E259" i="2"/>
  <c r="B260" i="2"/>
  <c r="C260" i="2"/>
  <c r="D260" i="2"/>
  <c r="E260" i="2"/>
  <c r="B261" i="2"/>
  <c r="C261" i="2"/>
  <c r="D261" i="2"/>
  <c r="E261" i="2"/>
  <c r="B262" i="2"/>
  <c r="C262" i="2"/>
  <c r="D262" i="2"/>
  <c r="E262" i="2"/>
  <c r="B263" i="2"/>
  <c r="C263" i="2"/>
  <c r="D263" i="2"/>
  <c r="E263" i="2"/>
  <c r="B264" i="2"/>
  <c r="C264" i="2"/>
  <c r="D264" i="2"/>
  <c r="E264" i="2"/>
  <c r="B265" i="2"/>
  <c r="C265" i="2"/>
  <c r="D265" i="2"/>
  <c r="E265" i="2"/>
  <c r="B266" i="2"/>
  <c r="C266" i="2"/>
  <c r="D266" i="2"/>
  <c r="E266" i="2"/>
  <c r="B267" i="2"/>
  <c r="C267" i="2"/>
  <c r="D267" i="2"/>
  <c r="E267" i="2"/>
  <c r="B268" i="2"/>
  <c r="C268" i="2"/>
  <c r="D268" i="2"/>
  <c r="E268" i="2"/>
  <c r="B269" i="2"/>
  <c r="C269" i="2"/>
  <c r="D269" i="2"/>
  <c r="E269" i="2"/>
  <c r="B270" i="2"/>
  <c r="C270" i="2"/>
  <c r="D270" i="2"/>
  <c r="E270" i="2"/>
  <c r="B271" i="2"/>
  <c r="C271" i="2"/>
  <c r="D271" i="2"/>
  <c r="E271" i="2"/>
  <c r="B272" i="2"/>
  <c r="C272" i="2"/>
  <c r="D272" i="2"/>
  <c r="E272" i="2"/>
  <c r="B273" i="2"/>
  <c r="C273" i="2"/>
  <c r="D273" i="2"/>
  <c r="E273" i="2"/>
  <c r="B274" i="2"/>
  <c r="C274" i="2"/>
  <c r="D274" i="2"/>
  <c r="E274" i="2"/>
  <c r="B275" i="2"/>
  <c r="C275" i="2"/>
  <c r="D275" i="2"/>
  <c r="E275" i="2"/>
  <c r="B276" i="2"/>
  <c r="C276" i="2"/>
  <c r="D276" i="2"/>
  <c r="E276" i="2"/>
  <c r="B277" i="2"/>
  <c r="C277" i="2"/>
  <c r="D277" i="2"/>
  <c r="E277" i="2"/>
  <c r="B278" i="2"/>
  <c r="C278" i="2"/>
  <c r="D278" i="2"/>
  <c r="E278" i="2"/>
  <c r="B279" i="2"/>
  <c r="C279" i="2"/>
  <c r="D279" i="2"/>
  <c r="E279" i="2"/>
  <c r="B280" i="2"/>
  <c r="C280" i="2"/>
  <c r="D280" i="2"/>
  <c r="E280" i="2"/>
  <c r="B281" i="2"/>
  <c r="C281" i="2"/>
  <c r="D281" i="2"/>
  <c r="E281" i="2"/>
  <c r="B282" i="2"/>
  <c r="C282" i="2"/>
  <c r="D282" i="2"/>
  <c r="E282" i="2"/>
  <c r="B283" i="2"/>
  <c r="C283" i="2"/>
  <c r="D283" i="2"/>
  <c r="E283" i="2"/>
  <c r="B284" i="2"/>
  <c r="C284" i="2"/>
  <c r="D284" i="2"/>
  <c r="E284" i="2"/>
  <c r="B285" i="2"/>
  <c r="C285" i="2"/>
  <c r="D285" i="2"/>
  <c r="E285" i="2"/>
  <c r="B286" i="2"/>
  <c r="C286" i="2"/>
  <c r="D286" i="2"/>
  <c r="E286" i="2"/>
  <c r="B287" i="2"/>
  <c r="C287" i="2"/>
  <c r="D287" i="2"/>
  <c r="E287" i="2"/>
  <c r="B288" i="2"/>
  <c r="C288" i="2"/>
  <c r="D288" i="2"/>
  <c r="E288" i="2"/>
  <c r="B289" i="2"/>
  <c r="C289" i="2"/>
  <c r="D289" i="2"/>
  <c r="E289" i="2"/>
  <c r="B290" i="2"/>
  <c r="C290" i="2"/>
  <c r="D290" i="2"/>
  <c r="E290" i="2"/>
  <c r="B291" i="2"/>
  <c r="C291" i="2"/>
  <c r="D291" i="2"/>
  <c r="E291" i="2"/>
  <c r="B292" i="2"/>
  <c r="C292" i="2"/>
  <c r="D292" i="2"/>
  <c r="E292" i="2"/>
  <c r="B293" i="2"/>
  <c r="C293" i="2"/>
  <c r="D293" i="2"/>
  <c r="E293" i="2"/>
  <c r="B294" i="2"/>
  <c r="C294" i="2"/>
  <c r="D294" i="2"/>
  <c r="E294" i="2"/>
  <c r="B295" i="2"/>
  <c r="C295" i="2"/>
  <c r="D295" i="2"/>
  <c r="E295" i="2"/>
  <c r="B296" i="2"/>
  <c r="C296" i="2"/>
  <c r="D296" i="2"/>
  <c r="E296" i="2"/>
  <c r="B297" i="2"/>
  <c r="C297" i="2"/>
  <c r="D297" i="2"/>
  <c r="E297" i="2"/>
  <c r="B298" i="2"/>
  <c r="C298" i="2"/>
  <c r="D298" i="2"/>
  <c r="E298" i="2"/>
  <c r="B299" i="2"/>
  <c r="C299" i="2"/>
  <c r="D299" i="2"/>
  <c r="E299" i="2"/>
  <c r="B300" i="2"/>
  <c r="C300" i="2"/>
  <c r="D300" i="2"/>
  <c r="E300" i="2"/>
  <c r="B301" i="2"/>
  <c r="C301" i="2"/>
  <c r="D301" i="2"/>
  <c r="E301" i="2"/>
  <c r="B302" i="2"/>
  <c r="C302" i="2"/>
  <c r="D302" i="2"/>
  <c r="E302" i="2"/>
  <c r="B303" i="2"/>
  <c r="C303" i="2"/>
  <c r="D303" i="2"/>
  <c r="E303" i="2"/>
  <c r="B304" i="2"/>
  <c r="C304" i="2"/>
  <c r="D304" i="2"/>
  <c r="E304" i="2"/>
  <c r="B305" i="2"/>
  <c r="C305" i="2"/>
  <c r="D305" i="2"/>
  <c r="E305" i="2"/>
  <c r="B306" i="2"/>
  <c r="C306" i="2"/>
  <c r="D306" i="2"/>
  <c r="E306" i="2"/>
  <c r="B307" i="2"/>
  <c r="C307" i="2"/>
  <c r="D307" i="2"/>
  <c r="E307" i="2"/>
  <c r="B308" i="2"/>
  <c r="C308" i="2"/>
  <c r="D308" i="2"/>
  <c r="E308" i="2"/>
  <c r="B309" i="2"/>
  <c r="C309" i="2"/>
  <c r="D309" i="2"/>
  <c r="E309" i="2"/>
  <c r="B310" i="2"/>
  <c r="C310" i="2"/>
  <c r="D310" i="2"/>
  <c r="E310" i="2"/>
  <c r="B311" i="2"/>
  <c r="C311" i="2"/>
  <c r="D311" i="2"/>
  <c r="E311" i="2"/>
  <c r="B312" i="2"/>
  <c r="C312" i="2"/>
  <c r="D312" i="2"/>
  <c r="E312" i="2"/>
  <c r="B313" i="2"/>
  <c r="C313" i="2"/>
  <c r="D313" i="2"/>
  <c r="E313" i="2"/>
  <c r="B314" i="2"/>
  <c r="C314" i="2"/>
  <c r="D314" i="2"/>
  <c r="E314" i="2"/>
  <c r="B315" i="2"/>
  <c r="C315" i="2"/>
  <c r="D315" i="2"/>
  <c r="E315" i="2"/>
  <c r="B316" i="2"/>
  <c r="C316" i="2"/>
  <c r="D316" i="2"/>
  <c r="E316" i="2"/>
  <c r="B317" i="2"/>
  <c r="C317" i="2"/>
  <c r="D317" i="2"/>
  <c r="E317" i="2"/>
  <c r="B318" i="2"/>
  <c r="C318" i="2"/>
  <c r="D318" i="2"/>
  <c r="E318" i="2"/>
  <c r="B319" i="2"/>
  <c r="C319" i="2"/>
  <c r="D319" i="2"/>
  <c r="E319" i="2"/>
  <c r="B320" i="2"/>
  <c r="C320" i="2"/>
  <c r="D320" i="2"/>
  <c r="E320" i="2"/>
  <c r="B321" i="2"/>
  <c r="C321" i="2"/>
  <c r="D321" i="2"/>
  <c r="E321" i="2"/>
  <c r="B322" i="2"/>
  <c r="C322" i="2"/>
  <c r="D322" i="2"/>
  <c r="E322" i="2"/>
  <c r="B323" i="2"/>
  <c r="C323" i="2"/>
  <c r="D323" i="2"/>
  <c r="E323" i="2"/>
  <c r="B324" i="2"/>
  <c r="C324" i="2"/>
  <c r="D324" i="2"/>
  <c r="E324" i="2"/>
  <c r="B325" i="2"/>
  <c r="C325" i="2"/>
  <c r="D325" i="2"/>
  <c r="E325" i="2"/>
  <c r="B326" i="2"/>
  <c r="C326" i="2"/>
  <c r="D326" i="2"/>
  <c r="E326" i="2"/>
  <c r="B327" i="2"/>
  <c r="C327" i="2"/>
  <c r="D327" i="2"/>
  <c r="E327" i="2"/>
  <c r="B328" i="2"/>
  <c r="C328" i="2"/>
  <c r="D328" i="2"/>
  <c r="E328" i="2"/>
  <c r="B329" i="2"/>
  <c r="C329" i="2"/>
  <c r="D329" i="2"/>
  <c r="E329" i="2"/>
  <c r="B330" i="2"/>
  <c r="C330" i="2"/>
  <c r="D330" i="2"/>
  <c r="E330" i="2"/>
  <c r="B331" i="2"/>
  <c r="C331" i="2"/>
  <c r="D331" i="2"/>
  <c r="E331" i="2"/>
  <c r="B332" i="2"/>
  <c r="C332" i="2"/>
  <c r="D332" i="2"/>
  <c r="E332" i="2"/>
  <c r="B333" i="2"/>
  <c r="C333" i="2"/>
  <c r="D333" i="2"/>
  <c r="E333" i="2"/>
  <c r="B334" i="2"/>
  <c r="C334" i="2"/>
  <c r="D334" i="2"/>
  <c r="E334" i="2"/>
  <c r="B335" i="2"/>
  <c r="C335" i="2"/>
  <c r="D335" i="2"/>
  <c r="E335" i="2"/>
  <c r="B336" i="2"/>
  <c r="C336" i="2"/>
  <c r="D336" i="2"/>
  <c r="E336" i="2"/>
  <c r="B337" i="2"/>
  <c r="C337" i="2"/>
  <c r="D337" i="2"/>
  <c r="E337" i="2"/>
  <c r="B3" i="2"/>
  <c r="C3" i="2"/>
  <c r="D3" i="2"/>
  <c r="E3" i="2"/>
  <c r="G3" i="2" s="1"/>
  <c r="B4" i="2"/>
  <c r="C4" i="2"/>
  <c r="G4" i="2" s="1"/>
  <c r="D4" i="2"/>
  <c r="F4" i="2" s="1"/>
  <c r="E4" i="2"/>
  <c r="B5" i="2"/>
  <c r="C5" i="2"/>
  <c r="D5" i="2"/>
  <c r="E5" i="2"/>
  <c r="G5" i="2" s="1"/>
  <c r="B6" i="2"/>
  <c r="C6" i="2"/>
  <c r="G6" i="2" s="1"/>
  <c r="D6" i="2"/>
  <c r="F6" i="2" s="1"/>
  <c r="E6" i="2"/>
  <c r="B7" i="2"/>
  <c r="C7" i="2"/>
  <c r="D7" i="2"/>
  <c r="E7" i="2"/>
  <c r="G7" i="2" s="1"/>
  <c r="B8" i="2"/>
  <c r="C8" i="2"/>
  <c r="G8" i="2" s="1"/>
  <c r="D8" i="2"/>
  <c r="F8" i="2" s="1"/>
  <c r="E8" i="2"/>
  <c r="B9" i="2"/>
  <c r="C9" i="2"/>
  <c r="D9" i="2"/>
  <c r="E9" i="2"/>
  <c r="G9" i="2" s="1"/>
  <c r="B10" i="2"/>
  <c r="C10" i="2"/>
  <c r="G10" i="2" s="1"/>
  <c r="D10" i="2"/>
  <c r="F10" i="2" s="1"/>
  <c r="E10" i="2"/>
  <c r="B11" i="2"/>
  <c r="C11" i="2"/>
  <c r="D11" i="2"/>
  <c r="E11" i="2"/>
  <c r="G11" i="2" s="1"/>
  <c r="B12" i="2"/>
  <c r="C12" i="2"/>
  <c r="G12" i="2" s="1"/>
  <c r="D12" i="2"/>
  <c r="F12" i="2" s="1"/>
  <c r="E12" i="2"/>
  <c r="B13" i="2"/>
  <c r="C13" i="2"/>
  <c r="D13" i="2"/>
  <c r="E13" i="2"/>
  <c r="G13" i="2" s="1"/>
  <c r="B14" i="2"/>
  <c r="C14" i="2"/>
  <c r="G14" i="2" s="1"/>
  <c r="D14" i="2"/>
  <c r="F14" i="2" s="1"/>
  <c r="E14" i="2"/>
  <c r="B15" i="2"/>
  <c r="C15" i="2"/>
  <c r="D15" i="2"/>
  <c r="E15" i="2"/>
  <c r="G15" i="2" s="1"/>
  <c r="B16" i="2"/>
  <c r="C16" i="2"/>
  <c r="G16" i="2" s="1"/>
  <c r="D16" i="2"/>
  <c r="F16" i="2" s="1"/>
  <c r="E16" i="2"/>
  <c r="B17" i="2"/>
  <c r="C17" i="2"/>
  <c r="D17" i="2"/>
  <c r="E17" i="2"/>
  <c r="G17" i="2" s="1"/>
  <c r="B18" i="2"/>
  <c r="C18" i="2"/>
  <c r="G18" i="2" s="1"/>
  <c r="D18" i="2"/>
  <c r="F18" i="2" s="1"/>
  <c r="E18" i="2"/>
  <c r="B19" i="2"/>
  <c r="C19" i="2"/>
  <c r="D19" i="2"/>
  <c r="E19" i="2"/>
  <c r="G19" i="2" s="1"/>
  <c r="B20" i="2"/>
  <c r="C20" i="2"/>
  <c r="G20" i="2" s="1"/>
  <c r="D20" i="2"/>
  <c r="F20" i="2" s="1"/>
  <c r="E20" i="2"/>
  <c r="B21" i="2"/>
  <c r="C21" i="2"/>
  <c r="D21" i="2"/>
  <c r="E21" i="2"/>
  <c r="G21" i="2" s="1"/>
  <c r="B22" i="2"/>
  <c r="C22" i="2"/>
  <c r="G22" i="2" s="1"/>
  <c r="D22" i="2"/>
  <c r="F22" i="2" s="1"/>
  <c r="E22" i="2"/>
  <c r="B23" i="2"/>
  <c r="C23" i="2"/>
  <c r="D23" i="2"/>
  <c r="E23" i="2"/>
  <c r="G23" i="2" s="1"/>
  <c r="B24" i="2"/>
  <c r="C24" i="2"/>
  <c r="G24" i="2" s="1"/>
  <c r="D24" i="2"/>
  <c r="F24" i="2" s="1"/>
  <c r="E24" i="2"/>
  <c r="B25" i="2"/>
  <c r="C25" i="2"/>
  <c r="D25" i="2"/>
  <c r="E25" i="2"/>
  <c r="G25" i="2" s="1"/>
  <c r="B26" i="2"/>
  <c r="C26" i="2"/>
  <c r="G26" i="2" s="1"/>
  <c r="D26" i="2"/>
  <c r="F26" i="2" s="1"/>
  <c r="E26" i="2"/>
  <c r="B27" i="2"/>
  <c r="C27" i="2"/>
  <c r="D27" i="2"/>
  <c r="E27" i="2"/>
  <c r="G27" i="2" s="1"/>
  <c r="B28" i="2"/>
  <c r="C28" i="2"/>
  <c r="G28" i="2" s="1"/>
  <c r="D28" i="2"/>
  <c r="F28" i="2" s="1"/>
  <c r="E28" i="2"/>
  <c r="B29" i="2"/>
  <c r="C29" i="2"/>
  <c r="D29" i="2"/>
  <c r="E29" i="2"/>
  <c r="G29" i="2" s="1"/>
  <c r="B30" i="2"/>
  <c r="C30" i="2"/>
  <c r="G30" i="2" s="1"/>
  <c r="D30" i="2"/>
  <c r="F30" i="2" s="1"/>
  <c r="E30" i="2"/>
  <c r="B31" i="2"/>
  <c r="C31" i="2"/>
  <c r="D31" i="2"/>
  <c r="E31" i="2"/>
  <c r="G31" i="2" s="1"/>
  <c r="B32" i="2"/>
  <c r="C32" i="2"/>
  <c r="G32" i="2" s="1"/>
  <c r="D32" i="2"/>
  <c r="F32" i="2" s="1"/>
  <c r="E32" i="2"/>
  <c r="E2" i="2"/>
  <c r="G2" i="2" s="1"/>
  <c r="D2" i="2"/>
  <c r="C2" i="2"/>
  <c r="B2" i="2"/>
  <c r="F31" i="2"/>
  <c r="F29" i="2"/>
  <c r="F27" i="2"/>
  <c r="F25" i="2"/>
  <c r="F23" i="2"/>
  <c r="F21" i="2"/>
  <c r="F19" i="2"/>
  <c r="F17" i="2"/>
  <c r="F15" i="2"/>
  <c r="F13" i="2"/>
  <c r="F11" i="2"/>
  <c r="F9" i="2"/>
  <c r="F7" i="2"/>
  <c r="F5" i="2"/>
  <c r="F3" i="2"/>
  <c r="F2" i="2"/>
  <c r="F3" i="1"/>
  <c r="G3" i="1"/>
  <c r="F4" i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G2" i="1"/>
  <c r="F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E2" i="1"/>
  <c r="D2" i="1"/>
  <c r="C2" i="1"/>
  <c r="B2" i="1"/>
  <c r="J3" i="2" l="1"/>
  <c r="K3" i="2"/>
  <c r="J2" i="2"/>
  <c r="K2" i="2"/>
  <c r="J5" i="2" l="1"/>
  <c r="K5" i="2"/>
</calcChain>
</file>

<file path=xl/sharedStrings.xml><?xml version="1.0" encoding="utf-8"?>
<sst xmlns="http://schemas.openxmlformats.org/spreadsheetml/2006/main" count="369" uniqueCount="367">
  <si>
    <t>position=&lt; 9,  1&gt; velocity=&lt; 0,  2&gt;</t>
  </si>
  <si>
    <t>position=&lt; 7,  0&gt; velocity=&lt;-1,  0&gt;</t>
  </si>
  <si>
    <t>position=&lt; 3, -2&gt; velocity=&lt;-1,  1&gt;</t>
  </si>
  <si>
    <t>position=&lt; 6, 10&gt; velocity=&lt;-2, -1&gt;</t>
  </si>
  <si>
    <t>position=&lt; 2, -4&gt; velocity=&lt; 2,  2&gt;</t>
  </si>
  <si>
    <t>position=&lt;-6, 10&gt; velocity=&lt; 2, -2&gt;</t>
  </si>
  <si>
    <t>position=&lt; 1,  8&gt; velocity=&lt; 1, -1&gt;</t>
  </si>
  <si>
    <t>position=&lt; 1,  7&gt; velocity=&lt; 1,  0&gt;</t>
  </si>
  <si>
    <t>position=&lt;-3, 11&gt; velocity=&lt; 1, -2&gt;</t>
  </si>
  <si>
    <t>position=&lt; 7,  6&gt; velocity=&lt;-1, -1&gt;</t>
  </si>
  <si>
    <t>position=&lt;-2,  3&gt; velocity=&lt; 1,  0&gt;</t>
  </si>
  <si>
    <t>position=&lt;-4,  3&gt; velocity=&lt; 2,  0&gt;</t>
  </si>
  <si>
    <t>position=&lt;10, -3&gt; velocity=&lt;-1,  1&gt;</t>
  </si>
  <si>
    <t>position=&lt; 5, 11&gt; velocity=&lt; 1, -2&gt;</t>
  </si>
  <si>
    <t>position=&lt; 4,  7&gt; velocity=&lt; 0, -1&gt;</t>
  </si>
  <si>
    <t>position=&lt; 8, -2&gt; velocity=&lt; 0,  1&gt;</t>
  </si>
  <si>
    <t>position=&lt;15,  0&gt; velocity=&lt;-2,  0&gt;</t>
  </si>
  <si>
    <t>position=&lt; 1,  6&gt; velocity=&lt; 1,  0&gt;</t>
  </si>
  <si>
    <t>position=&lt; 8,  9&gt; velocity=&lt; 0, -1&gt;</t>
  </si>
  <si>
    <t>position=&lt; 3,  3&gt; velocity=&lt;-1,  1&gt;</t>
  </si>
  <si>
    <t>position=&lt; 0,  5&gt; velocity=&lt; 0, -1&gt;</t>
  </si>
  <si>
    <t>position=&lt;-2,  2&gt; velocity=&lt; 2,  0&gt;</t>
  </si>
  <si>
    <t>position=&lt; 5, -2&gt; velocity=&lt; 1,  2&gt;</t>
  </si>
  <si>
    <t>position=&lt; 1,  4&gt; velocity=&lt; 2,  1&gt;</t>
  </si>
  <si>
    <t>position=&lt;-2,  7&gt; velocity=&lt; 2, -2&gt;</t>
  </si>
  <si>
    <t>position=&lt; 3,  6&gt; velocity=&lt;-1, -1&gt;</t>
  </si>
  <si>
    <t>position=&lt; 5,  0&gt; velocity=&lt; 1,  0&gt;</t>
  </si>
  <si>
    <t>position=&lt;-6,  0&gt; velocity=&lt; 2,  0&gt;</t>
  </si>
  <si>
    <t>position=&lt; 5,  9&gt; velocity=&lt; 1, -2&gt;</t>
  </si>
  <si>
    <t>position=&lt;14,  7&gt; velocity=&lt;-2,  0&gt;</t>
  </si>
  <si>
    <t>position=&lt;-3,  6&gt; velocity=&lt; 2, -1&gt;</t>
  </si>
  <si>
    <t>n=</t>
  </si>
  <si>
    <t>position=&lt; 21992, -10766&gt; velocity=&lt;-2,  1&gt;</t>
  </si>
  <si>
    <t>position=&lt;-43366, -21661&gt; velocity=&lt; 4,  2&gt;</t>
  </si>
  <si>
    <t>position=&lt;-10714, -21661&gt; velocity=&lt; 1,  2&gt;</t>
  </si>
  <si>
    <t>position=&lt; 21993,  32773&gt; velocity=&lt;-2, -3&gt;</t>
  </si>
  <si>
    <t>position=&lt; 43745,  32772&gt; velocity=&lt;-4, -3&gt;</t>
  </si>
  <si>
    <t>position=&lt; 43742,  43664&gt; velocity=&lt;-4, -4&gt;</t>
  </si>
  <si>
    <t>position=&lt;-43327,  43662&gt; velocity=&lt; 4, -4&gt;</t>
  </si>
  <si>
    <t>position=&lt;-43373,  43655&gt; velocity=&lt; 4, -4&gt;</t>
  </si>
  <si>
    <t>position=&lt;-10677,  32773&gt; velocity=&lt; 1, -3&gt;</t>
  </si>
  <si>
    <t>position=&lt;-43324,  43664&gt; velocity=&lt; 4, -4&gt;</t>
  </si>
  <si>
    <t>position=&lt;-32447,  43664&gt; velocity=&lt; 3, -4&gt;</t>
  </si>
  <si>
    <t>position=&lt; 21946, -54317&gt; velocity=&lt;-2,  5&gt;</t>
  </si>
  <si>
    <t>position=&lt; 11051, -10772&gt; velocity=&lt;-1,  1&gt;</t>
  </si>
  <si>
    <t>position=&lt; 32824, -21652&gt; velocity=&lt;-3,  2&gt;</t>
  </si>
  <si>
    <t>position=&lt; 11092, -21655&gt; velocity=&lt;-1,  2&gt;</t>
  </si>
  <si>
    <t>position=&lt; 32863,  11002&gt; velocity=&lt;-3, -1&gt;</t>
  </si>
  <si>
    <t>position=&lt;-21562,  10997&gt; velocity=&lt; 2, -1&gt;</t>
  </si>
  <si>
    <t>position=&lt;-10725,  43662&gt; velocity=&lt; 1, -4&gt;</t>
  </si>
  <si>
    <t>position=&lt; 11074,  11006&gt; velocity=&lt;-1, -1&gt;</t>
  </si>
  <si>
    <t>position=&lt;-54209, -10768&gt; velocity=&lt; 5,  1&gt;</t>
  </si>
  <si>
    <t>position=&lt; 43710, -10774&gt; velocity=&lt;-4,  1&gt;</t>
  </si>
  <si>
    <t>position=&lt; 54615,  54544&gt; velocity=&lt;-5, -5&gt;</t>
  </si>
  <si>
    <t>position=&lt; 32859, -21659&gt; velocity=&lt;-3,  2&gt;</t>
  </si>
  <si>
    <t>position=&lt; 11052,  10997&gt; velocity=&lt;-1, -1&gt;</t>
  </si>
  <si>
    <t>position=&lt; 21957, -32542&gt; velocity=&lt;-2,  3&gt;</t>
  </si>
  <si>
    <t>position=&lt;-10714,  10997&gt; velocity=&lt; 1, -1&gt;</t>
  </si>
  <si>
    <t>position=&lt; 32847, -21652&gt; velocity=&lt;-3,  2&gt;</t>
  </si>
  <si>
    <t>position=&lt;-21561, -32547&gt; velocity=&lt; 2,  3&gt;</t>
  </si>
  <si>
    <t>position=&lt; 11074,  21887&gt; velocity=&lt;-1, -2&gt;</t>
  </si>
  <si>
    <t>position=&lt;-43339, -21656&gt; velocity=&lt; 4,  2&gt;</t>
  </si>
  <si>
    <t>position=&lt; 54643,  54541&gt; velocity=&lt;-5, -5&gt;</t>
  </si>
  <si>
    <t>position=&lt;-32477, -32547&gt; velocity=&lt; 3,  3&gt;</t>
  </si>
  <si>
    <t>position=&lt;-21571,  11005&gt; velocity=&lt; 2, -1&gt;</t>
  </si>
  <si>
    <t>position=&lt;-10701, -54314&gt; velocity=&lt; 1,  5&gt;</t>
  </si>
  <si>
    <t>position=&lt;-21584, -43429&gt; velocity=&lt; 2,  4&gt;</t>
  </si>
  <si>
    <t>position=&lt;-21595, -32542&gt; velocity=&lt; 2,  3&gt;</t>
  </si>
  <si>
    <t>position=&lt; 54594,  21887&gt; velocity=&lt;-5, -2&gt;</t>
  </si>
  <si>
    <t>position=&lt; 21970,  32774&gt; velocity=&lt;-2, -3&gt;</t>
  </si>
  <si>
    <t>position=&lt;-54237, -43425&gt; velocity=&lt; 5,  4&gt;</t>
  </si>
  <si>
    <t>position=&lt; 43732, -54319&gt; velocity=&lt;-4,  5&gt;</t>
  </si>
  <si>
    <t>position=&lt;-32488, -10766&gt; velocity=&lt; 3,  1&gt;</t>
  </si>
  <si>
    <t>position=&lt;-32473, -43433&gt; velocity=&lt; 3,  4&gt;</t>
  </si>
  <si>
    <t>position=&lt;-43370,  10998&gt; velocity=&lt; 4, -1&gt;</t>
  </si>
  <si>
    <t>position=&lt;-43347,  32777&gt; velocity=&lt; 4, -3&gt;</t>
  </si>
  <si>
    <t>position=&lt;-32460,  11002&gt; velocity=&lt; 3, -1&gt;</t>
  </si>
  <si>
    <t>position=&lt; 21962, -21659&gt; velocity=&lt;-2,  2&gt;</t>
  </si>
  <si>
    <t>position=&lt; 21981,  21889&gt; velocity=&lt;-2, -2&gt;</t>
  </si>
  <si>
    <t>position=&lt;-32437, -21656&gt; velocity=&lt; 3,  2&gt;</t>
  </si>
  <si>
    <t>position=&lt;-43347, -21653&gt; velocity=&lt; 4,  2&gt;</t>
  </si>
  <si>
    <t>position=&lt; 54652,  54541&gt; velocity=&lt;-5, -5&gt;</t>
  </si>
  <si>
    <t>position=&lt;-21606, -54319&gt; velocity=&lt; 2,  5&gt;</t>
  </si>
  <si>
    <t>position=&lt; 11055,  54549&gt; velocity=&lt;-1, -5&gt;</t>
  </si>
  <si>
    <t>position=&lt;-54259,  21892&gt; velocity=&lt; 5, -2&gt;</t>
  </si>
  <si>
    <t>position=&lt; 54636,  32777&gt; velocity=&lt;-5, -3&gt;</t>
  </si>
  <si>
    <t>position=&lt;-54224,  11006&gt; velocity=&lt; 5, -1&gt;</t>
  </si>
  <si>
    <t>position=&lt;-10723, -54310&gt; velocity=&lt; 1,  5&gt;</t>
  </si>
  <si>
    <t>position=&lt; 32856,  54547&gt; velocity=&lt;-3, -5&gt;</t>
  </si>
  <si>
    <t>position=&lt; 11052,  11006&gt; velocity=&lt;-1, -1&gt;</t>
  </si>
  <si>
    <t>position=&lt;-10674, -54319&gt; velocity=&lt; 1,  5&gt;</t>
  </si>
  <si>
    <t>position=&lt; 11071, -54317&gt; velocity=&lt;-1,  5&gt;</t>
  </si>
  <si>
    <t>position=&lt; 11075,  54541&gt; velocity=&lt;-1, -5&gt;</t>
  </si>
  <si>
    <t>position=&lt;-54226,  21888&gt; velocity=&lt; 5, -2&gt;</t>
  </si>
  <si>
    <t>position=&lt; 21962,  32774&gt; velocity=&lt;-2, -3&gt;</t>
  </si>
  <si>
    <t>position=&lt;-54251,  21883&gt; velocity=&lt; 5, -2&gt;</t>
  </si>
  <si>
    <t>position=&lt; 54628, -32540&gt; velocity=&lt;-5,  3&gt;</t>
  </si>
  <si>
    <t>position=&lt; 11087,  32770&gt; velocity=&lt;-1, -3&gt;</t>
  </si>
  <si>
    <t>position=&lt; 54594,  43659&gt; velocity=&lt;-5, -4&gt;</t>
  </si>
  <si>
    <t>position=&lt; 43748,  32778&gt; velocity=&lt;-4, -3&gt;</t>
  </si>
  <si>
    <t>position=&lt; 32854,  32778&gt; velocity=&lt;-3, -3&gt;</t>
  </si>
  <si>
    <t>position=&lt; 54639, -32542&gt; velocity=&lt;-5,  3&gt;</t>
  </si>
  <si>
    <t>position=&lt;-43367, -43425&gt; velocity=&lt; 4,  4&gt;</t>
  </si>
  <si>
    <t>position=&lt; 54651, -21660&gt; velocity=&lt;-5,  2&gt;</t>
  </si>
  <si>
    <t>position=&lt; 11087,  10999&gt; velocity=&lt;-1, -1&gt;</t>
  </si>
  <si>
    <t>position=&lt;-43379,  32778&gt; velocity=&lt; 4, -3&gt;</t>
  </si>
  <si>
    <t>position=&lt; 43737, -32543&gt; velocity=&lt;-4,  3&gt;</t>
  </si>
  <si>
    <t>position=&lt;-43382,  43655&gt; velocity=&lt; 4, -4&gt;</t>
  </si>
  <si>
    <t>position=&lt;-10684, -43433&gt; velocity=&lt; 1,  4&gt;</t>
  </si>
  <si>
    <t>position=&lt;-54250,  54550&gt; velocity=&lt; 5, -5&gt;</t>
  </si>
  <si>
    <t>position=&lt; 11095, -21657&gt; velocity=&lt;-1,  2&gt;</t>
  </si>
  <si>
    <t>position=&lt; 32836,  10997&gt; velocity=&lt;-3, -1&gt;</t>
  </si>
  <si>
    <t>position=&lt;-54209, -32540&gt; velocity=&lt; 5,  3&gt;</t>
  </si>
  <si>
    <t>position=&lt; 11050,  21892&gt; velocity=&lt;-1, -2&gt;</t>
  </si>
  <si>
    <t>position=&lt;-21587,  10999&gt; velocity=&lt; 2, -1&gt;</t>
  </si>
  <si>
    <t>position=&lt; 43725,  54550&gt; velocity=&lt;-4, -5&gt;</t>
  </si>
  <si>
    <t>position=&lt;-54221,  32771&gt; velocity=&lt; 5, -3&gt;</t>
  </si>
  <si>
    <t>position=&lt; 11087,  54546&gt; velocity=&lt;-1, -5&gt;</t>
  </si>
  <si>
    <t>position=&lt; 11088, -32538&gt; velocity=&lt;-1,  3&gt;</t>
  </si>
  <si>
    <t>position=&lt; 21986, -10774&gt; velocity=&lt;-2,  1&gt;</t>
  </si>
  <si>
    <t>position=&lt; 11071,  10998&gt; velocity=&lt;-1, -1&gt;</t>
  </si>
  <si>
    <t>position=&lt; 54631,  43661&gt; velocity=&lt;-5, -4&gt;</t>
  </si>
  <si>
    <t>position=&lt;-32462,  21892&gt; velocity=&lt; 3, -2&gt;</t>
  </si>
  <si>
    <t>position=&lt;-32464, -43433&gt; velocity=&lt; 3,  4&gt;</t>
  </si>
  <si>
    <t>position=&lt;-32485, -10772&gt; velocity=&lt; 3,  1&gt;</t>
  </si>
  <si>
    <t>position=&lt; 43707,  21888&gt; velocity=&lt;-4, -2&gt;</t>
  </si>
  <si>
    <t>position=&lt; 54602, -32538&gt; velocity=&lt;-5,  3&gt;</t>
  </si>
  <si>
    <t>position=&lt;-43335, -32546&gt; velocity=&lt; 4,  3&gt;</t>
  </si>
  <si>
    <t>position=&lt; 54639, -10769&gt; velocity=&lt;-5,  1&gt;</t>
  </si>
  <si>
    <t>position=&lt;-21551, -21656&gt; velocity=&lt; 2,  2&gt;</t>
  </si>
  <si>
    <t>position=&lt;-43323, -21658&gt; velocity=&lt; 4,  2&gt;</t>
  </si>
  <si>
    <t>position=&lt; 43718,  32770&gt; velocity=&lt;-4, -3&gt;</t>
  </si>
  <si>
    <t>position=&lt;-10709,  43662&gt; velocity=&lt; 1, -4&gt;</t>
  </si>
  <si>
    <t>position=&lt; 43749,  10997&gt; velocity=&lt;-4, -1&gt;</t>
  </si>
  <si>
    <t>position=&lt; 32859,  11002&gt; velocity=&lt;-3, -1&gt;</t>
  </si>
  <si>
    <t>position=&lt; 32839, -43433&gt; velocity=&lt;-3,  4&gt;</t>
  </si>
  <si>
    <t>position=&lt; 21975, -10775&gt; velocity=&lt;-2,  1&gt;</t>
  </si>
  <si>
    <t>position=&lt; 11088,  11006&gt; velocity=&lt;-1, -1&gt;</t>
  </si>
  <si>
    <t>position=&lt;-10716,  21892&gt; velocity=&lt; 1, -2&gt;</t>
  </si>
  <si>
    <t>position=&lt;-21560, -32538&gt; velocity=&lt; 2,  3&gt;</t>
  </si>
  <si>
    <t>position=&lt;-21591,  54541&gt; velocity=&lt; 2, -5&gt;</t>
  </si>
  <si>
    <t>position=&lt; 21968, -21661&gt; velocity=&lt;-2,  2&gt;</t>
  </si>
  <si>
    <t>position=&lt;-21579, -32545&gt; velocity=&lt; 2,  3&gt;</t>
  </si>
  <si>
    <t>position=&lt;-10721, -32547&gt; velocity=&lt; 1,  3&gt;</t>
  </si>
  <si>
    <t>position=&lt;-32468, -43430&gt; velocity=&lt; 3,  4&gt;</t>
  </si>
  <si>
    <t>position=&lt;-54260, -43427&gt; velocity=&lt; 5,  4&gt;</t>
  </si>
  <si>
    <t>position=&lt;-43333,  10997&gt; velocity=&lt; 4, -1&gt;</t>
  </si>
  <si>
    <t>position=&lt;-21579,  21884&gt; velocity=&lt; 2, -2&gt;</t>
  </si>
  <si>
    <t>position=&lt;-43343,  54545&gt; velocity=&lt; 4, -5&gt;</t>
  </si>
  <si>
    <t>position=&lt;-10708, -43424&gt; velocity=&lt; 1,  4&gt;</t>
  </si>
  <si>
    <t>position=&lt; 54601, -21661&gt; velocity=&lt;-5,  2&gt;</t>
  </si>
  <si>
    <t>position=&lt;-32460, -21654&gt; velocity=&lt; 3,  2&gt;</t>
  </si>
  <si>
    <t>position=&lt; 32848, -10770&gt; velocity=&lt;-3,  1&gt;</t>
  </si>
  <si>
    <t>position=&lt;-54209,  21886&gt; velocity=&lt; 5, -2&gt;</t>
  </si>
  <si>
    <t>position=&lt; 32844,  32773&gt; velocity=&lt;-3, -3&gt;</t>
  </si>
  <si>
    <t>position=&lt; 32839,  32778&gt; velocity=&lt;-3, -3&gt;</t>
  </si>
  <si>
    <t>position=&lt;-43374, -43427&gt; velocity=&lt; 4,  4&gt;</t>
  </si>
  <si>
    <t>position=&lt; 32827,  43662&gt; velocity=&lt;-3, -4&gt;</t>
  </si>
  <si>
    <t>position=&lt;-21583, -43433&gt; velocity=&lt; 2,  4&gt;</t>
  </si>
  <si>
    <t>position=&lt; 32819, -54311&gt; velocity=&lt;-3,  5&gt;</t>
  </si>
  <si>
    <t>position=&lt;-43371,  43655&gt; velocity=&lt; 4, -4&gt;</t>
  </si>
  <si>
    <t>position=&lt;-32437,  10997&gt; velocity=&lt; 3, -1&gt;</t>
  </si>
  <si>
    <t>position=&lt;-21566,  43664&gt; velocity=&lt; 2, -4&gt;</t>
  </si>
  <si>
    <t>position=&lt;-43371, -21658&gt; velocity=&lt; 4,  2&gt;</t>
  </si>
  <si>
    <t>position=&lt; 43707, -32542&gt; velocity=&lt;-4,  3&gt;</t>
  </si>
  <si>
    <t>position=&lt;-21551,  11003&gt; velocity=&lt; 2, -1&gt;</t>
  </si>
  <si>
    <t>position=&lt;-21599,  11006&gt; velocity=&lt; 2, -1&gt;</t>
  </si>
  <si>
    <t>position=&lt; 11057,  43660&gt; velocity=&lt;-1, -4&gt;</t>
  </si>
  <si>
    <t>position=&lt;-21571, -10773&gt; velocity=&lt; 2,  1&gt;</t>
  </si>
  <si>
    <t>position=&lt; 54609, -43424&gt; velocity=&lt;-5,  4&gt;</t>
  </si>
  <si>
    <t>position=&lt;-32473, -54311&gt; velocity=&lt; 3,  5&gt;</t>
  </si>
  <si>
    <t>position=&lt;-21587, -54310&gt; velocity=&lt; 2,  5&gt;</t>
  </si>
  <si>
    <t>position=&lt;-43370, -54310&gt; velocity=&lt; 4,  5&gt;</t>
  </si>
  <si>
    <t>position=&lt; 54627,  21883&gt; velocity=&lt;-5, -2&gt;</t>
  </si>
  <si>
    <t>position=&lt; 54620,  32777&gt; velocity=&lt;-5, -3&gt;</t>
  </si>
  <si>
    <t>position=&lt;-32473, -54316&gt; velocity=&lt; 3,  5&gt;</t>
  </si>
  <si>
    <t>position=&lt; 54615,  21892&gt; velocity=&lt;-5, -2&gt;</t>
  </si>
  <si>
    <t>position=&lt;-21579, -54313&gt; velocity=&lt; 2,  5&gt;</t>
  </si>
  <si>
    <t>position=&lt;-43370, -21652&gt; velocity=&lt; 4,  2&gt;</t>
  </si>
  <si>
    <t>position=&lt;-10709, -54313&gt; velocity=&lt; 1,  5&gt;</t>
  </si>
  <si>
    <t>position=&lt; 43737,  32777&gt; velocity=&lt;-4, -3&gt;</t>
  </si>
  <si>
    <t>position=&lt; 32843,  11000&gt; velocity=&lt;-3, -1&gt;</t>
  </si>
  <si>
    <t>position=&lt;-43383, -32547&gt; velocity=&lt; 4,  3&gt;</t>
  </si>
  <si>
    <t>position=&lt;-43359,  43661&gt; velocity=&lt; 4, -4&gt;</t>
  </si>
  <si>
    <t>position=&lt;-10720, -43433&gt; velocity=&lt; 1,  4&gt;</t>
  </si>
  <si>
    <t>position=&lt; 54620,  32772&gt; velocity=&lt;-5, -3&gt;</t>
  </si>
  <si>
    <t>position=&lt; 43739,  21892&gt; velocity=&lt;-4, -2&gt;</t>
  </si>
  <si>
    <t>position=&lt; 54615,  43656&gt; velocity=&lt;-5, -4&gt;</t>
  </si>
  <si>
    <t>position=&lt;-32471,  32769&gt; velocity=&lt; 3, -3&gt;</t>
  </si>
  <si>
    <t>position=&lt;-54232,  21884&gt; velocity=&lt; 5, -2&gt;</t>
  </si>
  <si>
    <t>position=&lt; 11107, -10769&gt; velocity=&lt;-1,  1&gt;</t>
  </si>
  <si>
    <t>position=&lt;-43383,  21890&gt; velocity=&lt; 4, -2&gt;</t>
  </si>
  <si>
    <t>position=&lt; 21951,  54550&gt; velocity=&lt;-2, -5&gt;</t>
  </si>
  <si>
    <t>position=&lt; 43747, -21661&gt; velocity=&lt;-4,  2&gt;</t>
  </si>
  <si>
    <t>position=&lt;-32494, -43433&gt; velocity=&lt; 3,  4&gt;</t>
  </si>
  <si>
    <t>position=&lt;-21563, -54316&gt; velocity=&lt; 2,  5&gt;</t>
  </si>
  <si>
    <t>position=&lt;-54224,  11002&gt; velocity=&lt; 5, -1&gt;</t>
  </si>
  <si>
    <t>position=&lt;-43372, -32538&gt; velocity=&lt; 4,  3&gt;</t>
  </si>
  <si>
    <t>position=&lt;-43342, -21652&gt; velocity=&lt; 4,  2&gt;</t>
  </si>
  <si>
    <t>position=&lt; 11079,  54548&gt; velocity=&lt;-1, -5&gt;</t>
  </si>
  <si>
    <t>position=&lt; 11106, -32538&gt; velocity=&lt;-1,  3&gt;</t>
  </si>
  <si>
    <t>position=&lt;-32488, -54310&gt; velocity=&lt; 3,  5&gt;</t>
  </si>
  <si>
    <t>position=&lt; 43748,  43664&gt; velocity=&lt;-4, -4&gt;</t>
  </si>
  <si>
    <t>position=&lt; 11063,  43658&gt; velocity=&lt;-1, -4&gt;</t>
  </si>
  <si>
    <t>position=&lt;-54240,  54543&gt; velocity=&lt; 5, -5&gt;</t>
  </si>
  <si>
    <t>position=&lt; 21983,  43655&gt; velocity=&lt;-2, -4&gt;</t>
  </si>
  <si>
    <t>position=&lt;-21551,  32773&gt; velocity=&lt; 2, -3&gt;</t>
  </si>
  <si>
    <t>position=&lt;-21607, -32547&gt; velocity=&lt; 2,  3&gt;</t>
  </si>
  <si>
    <t>position=&lt;-10709, -54315&gt; velocity=&lt; 1,  5&gt;</t>
  </si>
  <si>
    <t>position=&lt; 21978,  32775&gt; velocity=&lt;-2, -3&gt;</t>
  </si>
  <si>
    <t>position=&lt; 32864, -21653&gt; velocity=&lt;-3,  2&gt;</t>
  </si>
  <si>
    <t>position=&lt;-32464,  43655&gt; velocity=&lt; 3, -4&gt;</t>
  </si>
  <si>
    <t>position=&lt; 32848, -54312&gt; velocity=&lt;-3,  5&gt;</t>
  </si>
  <si>
    <t>position=&lt; 54639,  32772&gt; velocity=&lt;-5, -3&gt;</t>
  </si>
  <si>
    <t>position=&lt;-43380, -21657&gt; velocity=&lt; 4,  2&gt;</t>
  </si>
  <si>
    <t>position=&lt;-43371,  54544&gt; velocity=&lt; 4, -5&gt;</t>
  </si>
  <si>
    <t>position=&lt; 11079, -43429&gt; velocity=&lt;-1,  4&gt;</t>
  </si>
  <si>
    <t>position=&lt; 11099,  43664&gt; velocity=&lt;-1, -4&gt;</t>
  </si>
  <si>
    <t>position=&lt; 54591, -21653&gt; velocity=&lt;-5,  2&gt;</t>
  </si>
  <si>
    <t>position=&lt;-10715, -54310&gt; velocity=&lt; 1,  5&gt;</t>
  </si>
  <si>
    <t>position=&lt; 21949, -10768&gt; velocity=&lt;-2,  1&gt;</t>
  </si>
  <si>
    <t>position=&lt;-21606,  43657&gt; velocity=&lt; 2, -4&gt;</t>
  </si>
  <si>
    <t>position=&lt;-54256, -21660&gt; velocity=&lt; 5,  2&gt;</t>
  </si>
  <si>
    <t>position=&lt;-54242, -54319&gt; velocity=&lt; 5,  5&gt;</t>
  </si>
  <si>
    <t>position=&lt; 21985, -21661&gt; velocity=&lt;-2,  2&gt;</t>
  </si>
  <si>
    <t>position=&lt;-32465, -32542&gt; velocity=&lt; 3,  3&gt;</t>
  </si>
  <si>
    <t>position=&lt;-54250, -43433&gt; velocity=&lt; 5,  4&gt;</t>
  </si>
  <si>
    <t>position=&lt; 43742,  11005&gt; velocity=&lt;-4, -1&gt;</t>
  </si>
  <si>
    <t>position=&lt;-32494, -10775&gt; velocity=&lt; 3,  1&gt;</t>
  </si>
  <si>
    <t>position=&lt; 32843,  11004&gt; velocity=&lt;-3, -1&gt;</t>
  </si>
  <si>
    <t>position=&lt;-21586,  43664&gt; velocity=&lt; 2, -4&gt;</t>
  </si>
  <si>
    <t>position=&lt;-10723,  21883&gt; velocity=&lt; 1, -2&gt;</t>
  </si>
  <si>
    <t>position=&lt;-21552, -43433&gt; velocity=&lt; 2,  4&gt;</t>
  </si>
  <si>
    <t>position=&lt;-43358, -10775&gt; velocity=&lt; 4,  1&gt;</t>
  </si>
  <si>
    <t>position=&lt; 32872, -10774&gt; velocity=&lt;-3,  1&gt;</t>
  </si>
  <si>
    <t>position=&lt;-10680, -54312&gt; velocity=&lt; 1,  5&gt;</t>
  </si>
  <si>
    <t>position=&lt;-54237, -32545&gt; velocity=&lt; 5,  3&gt;</t>
  </si>
  <si>
    <t>position=&lt; 54651,  10997&gt; velocity=&lt;-5, -1&gt;</t>
  </si>
  <si>
    <t>position=&lt;-32489, -43425&gt; velocity=&lt; 3,  4&gt;</t>
  </si>
  <si>
    <t>position=&lt;-54243, -43429&gt; velocity=&lt; 5,  4&gt;</t>
  </si>
  <si>
    <t>position=&lt; 54626, -54314&gt; velocity=&lt;-5,  5&gt;</t>
  </si>
  <si>
    <t>position=&lt; 11107, -21656&gt; velocity=&lt;-1,  2&gt;</t>
  </si>
  <si>
    <t>position=&lt;-21575,  10997&gt; velocity=&lt; 2, -1&gt;</t>
  </si>
  <si>
    <t>position=&lt; 43716,  11001&gt; velocity=&lt;-4, -1&gt;</t>
  </si>
  <si>
    <t>position=&lt;-10720,  32771&gt; velocity=&lt; 1, -3&gt;</t>
  </si>
  <si>
    <t>position=&lt; 11092,  43660&gt; velocity=&lt;-1, -4&gt;</t>
  </si>
  <si>
    <t>position=&lt; 54631, -21658&gt; velocity=&lt;-5,  2&gt;</t>
  </si>
  <si>
    <t>position=&lt; 11068,  11005&gt; velocity=&lt;-1, -1&gt;</t>
  </si>
  <si>
    <t>position=&lt; 43708, -21652&gt; velocity=&lt;-4,  2&gt;</t>
  </si>
  <si>
    <t>position=&lt;-10674, -32538&gt; velocity=&lt; 1,  3&gt;</t>
  </si>
  <si>
    <t>position=&lt; 11051,  11006&gt; velocity=&lt;-1, -1&gt;</t>
  </si>
  <si>
    <t>position=&lt; 11063, -54316&gt; velocity=&lt;-1,  5&gt;</t>
  </si>
  <si>
    <t>position=&lt; 11056,  32769&gt; velocity=&lt;-1, -3&gt;</t>
  </si>
  <si>
    <t>position=&lt;-21587,  21884&gt; velocity=&lt; 2, -2&gt;</t>
  </si>
  <si>
    <t>position=&lt; 11082,  43660&gt; velocity=&lt;-1, -4&gt;</t>
  </si>
  <si>
    <t>position=&lt; 43726,  43663&gt; velocity=&lt;-4, -4&gt;</t>
  </si>
  <si>
    <t>position=&lt; 54633,  54550&gt; velocity=&lt;-5, -5&gt;</t>
  </si>
  <si>
    <t>position=&lt; 11071,  43663&gt; velocity=&lt;-1, -4&gt;</t>
  </si>
  <si>
    <t>position=&lt;-43367,  43660&gt; velocity=&lt; 4, -4&gt;</t>
  </si>
  <si>
    <t>position=&lt;-21563,  11004&gt; velocity=&lt; 2, -1&gt;</t>
  </si>
  <si>
    <t>position=&lt; 54639,  54542&gt; velocity=&lt;-5, -5&gt;</t>
  </si>
  <si>
    <t>position=&lt; 32848, -32541&gt; velocity=&lt;-3,  3&gt;</t>
  </si>
  <si>
    <t>position=&lt;-54209,  54543&gt; velocity=&lt; 5, -5&gt;</t>
  </si>
  <si>
    <t>position=&lt;-43370,  21892&gt; velocity=&lt; 4, -2&gt;</t>
  </si>
  <si>
    <t>position=&lt; 54627, -21661&gt; velocity=&lt;-5,  2&gt;</t>
  </si>
  <si>
    <t>position=&lt; 54612,  54542&gt; velocity=&lt;-5, -5&gt;</t>
  </si>
  <si>
    <t>position=&lt; 11103,  43663&gt; velocity=&lt;-1, -4&gt;</t>
  </si>
  <si>
    <t>position=&lt; 32876,  21892&gt; velocity=&lt;-3, -2&gt;</t>
  </si>
  <si>
    <t>position=&lt; 21978, -21660&gt; velocity=&lt;-2,  2&gt;</t>
  </si>
  <si>
    <t>position=&lt; 54592,  54547&gt; velocity=&lt;-5, -5&gt;</t>
  </si>
  <si>
    <t>position=&lt;-43354, -43428&gt; velocity=&lt; 4,  4&gt;</t>
  </si>
  <si>
    <t>position=&lt; 54615,  11001&gt; velocity=&lt;-5, -1&gt;</t>
  </si>
  <si>
    <t>position=&lt;-10665, -43430&gt; velocity=&lt; 1,  4&gt;</t>
  </si>
  <si>
    <t>position=&lt;-21566, -10766&gt; velocity=&lt; 2,  1&gt;</t>
  </si>
  <si>
    <t>position=&lt; 43753, -43431&gt; velocity=&lt;-4,  4&gt;</t>
  </si>
  <si>
    <t>position=&lt; 43739, -32547&gt; velocity=&lt;-4,  3&gt;</t>
  </si>
  <si>
    <t>position=&lt;-43354, -43425&gt; velocity=&lt; 4,  4&gt;</t>
  </si>
  <si>
    <t>position=&lt;-10669, -21654&gt; velocity=&lt; 1,  2&gt;</t>
  </si>
  <si>
    <t>position=&lt; 54644, -10767&gt; velocity=&lt;-5,  1&gt;</t>
  </si>
  <si>
    <t>position=&lt; 54612, -43432&gt; velocity=&lt;-5,  4&gt;</t>
  </si>
  <si>
    <t>position=&lt; 32829,  54546&gt; velocity=&lt;-3, -5&gt;</t>
  </si>
  <si>
    <t>position=&lt; 54594, -10766&gt; velocity=&lt;-5,  1&gt;</t>
  </si>
  <si>
    <t>position=&lt; 54626, -32547&gt; velocity=&lt;-5,  3&gt;</t>
  </si>
  <si>
    <t>position=&lt;-32441,  11004&gt; velocity=&lt; 3, -1&gt;</t>
  </si>
  <si>
    <t>position=&lt; 43738,  11006&gt; velocity=&lt;-4, -1&gt;</t>
  </si>
  <si>
    <t>position=&lt;-43351, -32541&gt; velocity=&lt; 4,  3&gt;</t>
  </si>
  <si>
    <t>position=&lt; 43732, -10766&gt; velocity=&lt;-4,  1&gt;</t>
  </si>
  <si>
    <t>position=&lt; 43749,  32777&gt; velocity=&lt;-4, -3&gt;</t>
  </si>
  <si>
    <t>position=&lt;-32460, -21656&gt; velocity=&lt; 3,  2&gt;</t>
  </si>
  <si>
    <t>position=&lt; 54628,  10998&gt; velocity=&lt;-5, -1&gt;</t>
  </si>
  <si>
    <t>position=&lt; 21949,  32777&gt; velocity=&lt;-2, -3&gt;</t>
  </si>
  <si>
    <t>position=&lt;-43370, -21661&gt; velocity=&lt; 4,  2&gt;</t>
  </si>
  <si>
    <t>position=&lt;-10682, -43433&gt; velocity=&lt; 1,  4&gt;</t>
  </si>
  <si>
    <t>position=&lt;-32441, -10767&gt; velocity=&lt; 3,  1&gt;</t>
  </si>
  <si>
    <t>position=&lt; 21973,  21888&gt; velocity=&lt;-2, -2&gt;</t>
  </si>
  <si>
    <t>position=&lt; 21973,  11000&gt; velocity=&lt;-2, -1&gt;</t>
  </si>
  <si>
    <t>position=&lt; 11107, -10771&gt; velocity=&lt;-1,  1&gt;</t>
  </si>
  <si>
    <t>position=&lt;-10680, -10769&gt; velocity=&lt; 1,  1&gt;</t>
  </si>
  <si>
    <t>position=&lt; 32867,  54542&gt; velocity=&lt;-3, -5&gt;</t>
  </si>
  <si>
    <t>position=&lt;-10701,  21887&gt; velocity=&lt; 1, -2&gt;</t>
  </si>
  <si>
    <t>position=&lt;-54250, -10775&gt; velocity=&lt; 5,  1&gt;</t>
  </si>
  <si>
    <t>position=&lt; 54615, -10768&gt; velocity=&lt;-5,  1&gt;</t>
  </si>
  <si>
    <t>position=&lt;-21550,  21883&gt; velocity=&lt; 2, -2&gt;</t>
  </si>
  <si>
    <t>position=&lt;-43346,  21890&gt; velocity=&lt; 4, -2&gt;</t>
  </si>
  <si>
    <t>position=&lt;-54216, -54318&gt; velocity=&lt; 5,  5&gt;</t>
  </si>
  <si>
    <t>position=&lt;-43357,  11006&gt; velocity=&lt; 4, -1&gt;</t>
  </si>
  <si>
    <t>position=&lt;-10692, -10766&gt; velocity=&lt; 1,  1&gt;</t>
  </si>
  <si>
    <t>position=&lt; 21944,  21892&gt; velocity=&lt;-2, -2&gt;</t>
  </si>
  <si>
    <t>position=&lt; 54623, -10772&gt; velocity=&lt;-5,  1&gt;</t>
  </si>
  <si>
    <t>position=&lt; 43749,  43663&gt; velocity=&lt;-4, -4&gt;</t>
  </si>
  <si>
    <t>position=&lt; 43740,  21888&gt; velocity=&lt;-4, -2&gt;</t>
  </si>
  <si>
    <t>position=&lt;-54224,  32776&gt; velocity=&lt; 5, -3&gt;</t>
  </si>
  <si>
    <t>position=&lt;-54240,  43657&gt; velocity=&lt; 5, -4&gt;</t>
  </si>
  <si>
    <t>position=&lt;-21592, -54310&gt; velocity=&lt; 2,  5&gt;</t>
  </si>
  <si>
    <t>position=&lt; 54599,  21883&gt; velocity=&lt;-5, -2&gt;</t>
  </si>
  <si>
    <t>position=&lt; 32830, -10771&gt; velocity=&lt;-3,  1&gt;</t>
  </si>
  <si>
    <t>position=&lt; 21961,  54550&gt; velocity=&lt;-2, -5&gt;</t>
  </si>
  <si>
    <t>position=&lt;-54258, -32543&gt; velocity=&lt; 5,  3&gt;</t>
  </si>
  <si>
    <t>position=&lt; 11047, -10768&gt; velocity=&lt;-1,  1&gt;</t>
  </si>
  <si>
    <t>position=&lt; 11047, -21653&gt; velocity=&lt;-1,  2&gt;</t>
  </si>
  <si>
    <t>position=&lt; 43709,  21883&gt; velocity=&lt;-4, -2&gt;</t>
  </si>
  <si>
    <t>position=&lt; 43729, -10766&gt; velocity=&lt;-4,  1&gt;</t>
  </si>
  <si>
    <t>position=&lt;-32481, -54317&gt; velocity=&lt; 3,  5&gt;</t>
  </si>
  <si>
    <t>position=&lt;-32481, -54318&gt; velocity=&lt; 3,  5&gt;</t>
  </si>
  <si>
    <t>position=&lt; 43750, -54311&gt; velocity=&lt;-4,  5&gt;</t>
  </si>
  <si>
    <t>position=&lt;-43325,  11006&gt; velocity=&lt; 4, -1&gt;</t>
  </si>
  <si>
    <t>position=&lt;-43331,  21892&gt; velocity=&lt; 4, -2&gt;</t>
  </si>
  <si>
    <t>position=&lt; 32867, -54311&gt; velocity=&lt;-3,  5&gt;</t>
  </si>
  <si>
    <t>position=&lt; 32847, -10771&gt; velocity=&lt;-3,  1&gt;</t>
  </si>
  <si>
    <t>position=&lt; 43731,  43664&gt; velocity=&lt;-4, -4&gt;</t>
  </si>
  <si>
    <t>position=&lt; 21965, -10770&gt; velocity=&lt;-2,  1&gt;</t>
  </si>
  <si>
    <t>position=&lt;-43362,  21884&gt; velocity=&lt; 4, -2&gt;</t>
  </si>
  <si>
    <t>position=&lt; 43742,  43663&gt; velocity=&lt;-4, -4&gt;</t>
  </si>
  <si>
    <t>position=&lt; 54634,  54541&gt; velocity=&lt;-5, -5&gt;</t>
  </si>
  <si>
    <t>position=&lt;-32437,  10999&gt; velocity=&lt; 3, -1&gt;</t>
  </si>
  <si>
    <t>position=&lt; 54631, -21654&gt; velocity=&lt;-5,  2&gt;</t>
  </si>
  <si>
    <t>position=&lt;-54220,  11006&gt; velocity=&lt; 5, -1&gt;</t>
  </si>
  <si>
    <t>position=&lt; 54607,  54546&gt; velocity=&lt;-5, -5&gt;</t>
  </si>
  <si>
    <t>position=&lt;-43342,  43655&gt; velocity=&lt; 4, -4&gt;</t>
  </si>
  <si>
    <t>position=&lt; 21973,  32773&gt; velocity=&lt;-2, -3&gt;</t>
  </si>
  <si>
    <t>position=&lt;-32496, -32538&gt; velocity=&lt; 3,  3&gt;</t>
  </si>
  <si>
    <t>position=&lt; 54599, -21652&gt; velocity=&lt;-5,  2&gt;</t>
  </si>
  <si>
    <t>position=&lt;-54267,  54541&gt; velocity=&lt; 5, -5&gt;</t>
  </si>
  <si>
    <t>position=&lt; 11071, -10773&gt; velocity=&lt;-1,  1&gt;</t>
  </si>
  <si>
    <t>position=&lt; 32879,  54549&gt; velocity=&lt;-3, -5&gt;</t>
  </si>
  <si>
    <t>position=&lt;-43351, -54316&gt; velocity=&lt; 4,  5&gt;</t>
  </si>
  <si>
    <t>position=&lt;-54237,  10999&gt; velocity=&lt; 5, -1&gt;</t>
  </si>
  <si>
    <t>position=&lt;-54245,  32774&gt; velocity=&lt; 5, -3&gt;</t>
  </si>
  <si>
    <t>position=&lt;-43375,  54549&gt; velocity=&lt; 4, -5&gt;</t>
  </si>
  <si>
    <t>position=&lt; 54623, -21658&gt; velocity=&lt;-5,  2&gt;</t>
  </si>
  <si>
    <t>position=&lt;-43375,  32778&gt; velocity=&lt; 4, -3&gt;</t>
  </si>
  <si>
    <t>position=&lt;-21551, -21660&gt; velocity=&lt; 2,  2&gt;</t>
  </si>
  <si>
    <t>position=&lt; 43741, -21656&gt; velocity=&lt;-4,  2&gt;</t>
  </si>
  <si>
    <t>position=&lt;-54240,  32775&gt; velocity=&lt; 5, -3&gt;</t>
  </si>
  <si>
    <t>position=&lt; 21984, -10766&gt; velocity=&lt;-2,  1&gt;</t>
  </si>
  <si>
    <t>position=&lt;-10720, -21659&gt; velocity=&lt; 1,  2&gt;</t>
  </si>
  <si>
    <t>position=&lt; 32824,  32770&gt; velocity=&lt;-3, -3&gt;</t>
  </si>
  <si>
    <t>position=&lt; 11057,  32774&gt; velocity=&lt;-1, -3&gt;</t>
  </si>
  <si>
    <t>position=&lt;-21561,  54550&gt; velocity=&lt; 2, -5&gt;</t>
  </si>
  <si>
    <t>position=&lt; 11071, -21653&gt; velocity=&lt;-1,  2&gt;</t>
  </si>
  <si>
    <t>position=&lt;-32497, -54310&gt; velocity=&lt; 3,  5&gt;</t>
  </si>
  <si>
    <t>position=&lt; 32871,  43655&gt; velocity=&lt;-3, -4&gt;</t>
  </si>
  <si>
    <t>position=&lt;-43371,  32778&gt; velocity=&lt; 4, -3&gt;</t>
  </si>
  <si>
    <t>position=&lt;-21582, -54318&gt; velocity=&lt; 2,  5&gt;</t>
  </si>
  <si>
    <t>position=&lt; 11076, -21658&gt; velocity=&lt;-1,  2&gt;</t>
  </si>
  <si>
    <t>position=&lt; 43749,  43655&gt; velocity=&lt;-4, -4&gt;</t>
  </si>
  <si>
    <t>position=&lt; 43754, -54319&gt; velocity=&lt;-4,  5&gt;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</si>
</sst>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name val="Source Code Pro"/>
      <family val="3"/>
    </font>
    <font>
      <sz val="11"/>
      <name val="Calibri"/>
      <family val="2"/>
      <scheme val="minor"/>
    </font>
    <font>
      <sz val="10"/>
      <color rgb="FF00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1" fillId="0" borderId="0" xfId="0" applyFont="1" applyFill="1" applyAlignment="1">
      <alignment vertical="center"/>
    </xf>
    <xf numFmtId="0" fontId="0" fillId="2" borderId="0" xfId="0" applyFill="1"/>
    <xf numFmtId="0" fontId="0" fillId="0" borderId="0" xfId="0" applyFill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F5372-147D-4795-A2C7-096B1AF65B74}">
  <sheetPr codeName="Sheet2"/>
  <dimension ref="A1:ML350"/>
  <sheetViews>
    <sheetView tabSelected="1" zoomScale="10" zoomScaleNormal="10" workbookViewId="0">
      <selection activeCell="AY30" sqref="AY30"/>
    </sheetView>
  </sheetViews>
  <sheetFormatPr defaultRowHeight="15" x14ac:dyDescent="0.25"/>
  <cols>
    <col min="1" max="1" width="45.85546875" style="2" customWidth="1"/>
    <col min="6" max="11" width="9.140625" style="5"/>
    <col min="12" max="62" width="3.85546875" style="5" customWidth="1"/>
    <col min="63" max="402" width="3.85546875" customWidth="1"/>
  </cols>
  <sheetData>
    <row r="1" spans="1:11" x14ac:dyDescent="0.25">
      <c r="H1" s="5" t="s">
        <v>31</v>
      </c>
      <c r="I1" s="5">
        <v>10886</v>
      </c>
    </row>
    <row r="2" spans="1:11" x14ac:dyDescent="0.25">
      <c r="A2" s="6" t="s">
        <v>32</v>
      </c>
      <c r="B2" t="str">
        <f>MID(A2,11,6)</f>
        <v xml:space="preserve"> 21992</v>
      </c>
      <c r="C2" t="str">
        <f>MID(A2,19,6)</f>
        <v>-10766</v>
      </c>
      <c r="D2" t="str">
        <f>MID(A2,37,2)</f>
        <v>-2</v>
      </c>
      <c r="E2" t="str">
        <f>MID(A2,40,3)</f>
        <v xml:space="preserve">  1</v>
      </c>
      <c r="F2" s="5">
        <f>B2+(D2*$I$1)</f>
        <v>220</v>
      </c>
      <c r="G2" s="5">
        <f>C2+(E2*$I$1)</f>
        <v>120</v>
      </c>
      <c r="J2" s="5">
        <f>MIN(F:F)</f>
        <v>161</v>
      </c>
      <c r="K2" s="5">
        <f>MIN(G:G)</f>
        <v>111</v>
      </c>
    </row>
    <row r="3" spans="1:11" x14ac:dyDescent="0.25">
      <c r="A3" s="6" t="s">
        <v>33</v>
      </c>
      <c r="B3" t="str">
        <f t="shared" ref="B3:B66" si="0">MID(A3,11,6)</f>
        <v>-43366</v>
      </c>
      <c r="C3" t="str">
        <f t="shared" ref="C3:C33" si="1">MID(A3,19,6)</f>
        <v>-21661</v>
      </c>
      <c r="D3" t="str">
        <f t="shared" ref="D3:D33" si="2">MID(A3,37,2)</f>
        <v xml:space="preserve"> 4</v>
      </c>
      <c r="E3" t="str">
        <f t="shared" ref="E3:E33" si="3">MID(A3,40,3)</f>
        <v xml:space="preserve">  2</v>
      </c>
      <c r="F3" s="5">
        <f t="shared" ref="F3:G32" si="4">B3+(D3*$I$1)</f>
        <v>178</v>
      </c>
      <c r="G3" s="5">
        <f t="shared" si="4"/>
        <v>111</v>
      </c>
      <c r="J3" s="5">
        <f>MAX(F:F)</f>
        <v>222</v>
      </c>
      <c r="K3" s="5">
        <f>MAX(G:G)</f>
        <v>120</v>
      </c>
    </row>
    <row r="4" spans="1:11" x14ac:dyDescent="0.25">
      <c r="A4" s="6" t="s">
        <v>34</v>
      </c>
      <c r="B4" t="str">
        <f t="shared" si="0"/>
        <v>-10714</v>
      </c>
      <c r="C4" t="str">
        <f t="shared" si="1"/>
        <v>-21661</v>
      </c>
      <c r="D4" t="str">
        <f t="shared" si="2"/>
        <v xml:space="preserve"> 1</v>
      </c>
      <c r="E4" t="str">
        <f t="shared" si="3"/>
        <v xml:space="preserve">  2</v>
      </c>
      <c r="F4" s="5">
        <f t="shared" si="4"/>
        <v>172</v>
      </c>
      <c r="G4" s="5">
        <f t="shared" si="4"/>
        <v>111</v>
      </c>
    </row>
    <row r="5" spans="1:11" x14ac:dyDescent="0.25">
      <c r="A5" s="6" t="s">
        <v>35</v>
      </c>
      <c r="B5" t="str">
        <f t="shared" si="0"/>
        <v xml:space="preserve"> 21993</v>
      </c>
      <c r="C5" t="str">
        <f t="shared" si="1"/>
        <v xml:space="preserve"> 32773</v>
      </c>
      <c r="D5" t="str">
        <f t="shared" si="2"/>
        <v>-2</v>
      </c>
      <c r="E5" t="str">
        <f t="shared" si="3"/>
        <v xml:space="preserve"> -3</v>
      </c>
      <c r="F5" s="5">
        <f t="shared" si="4"/>
        <v>221</v>
      </c>
      <c r="G5" s="5">
        <f t="shared" si="4"/>
        <v>115</v>
      </c>
      <c r="J5" s="5">
        <f>J3-J2</f>
        <v>61</v>
      </c>
      <c r="K5" s="5">
        <f>K3-K2</f>
        <v>9</v>
      </c>
    </row>
    <row r="6" spans="1:11" x14ac:dyDescent="0.25">
      <c r="A6" s="6" t="s">
        <v>36</v>
      </c>
      <c r="B6" t="str">
        <f t="shared" si="0"/>
        <v xml:space="preserve"> 43745</v>
      </c>
      <c r="C6" t="str">
        <f t="shared" si="1"/>
        <v xml:space="preserve"> 32772</v>
      </c>
      <c r="D6" t="str">
        <f t="shared" si="2"/>
        <v>-4</v>
      </c>
      <c r="E6" t="str">
        <f t="shared" si="3"/>
        <v xml:space="preserve"> -3</v>
      </c>
      <c r="F6" s="5">
        <f t="shared" si="4"/>
        <v>201</v>
      </c>
      <c r="G6" s="5">
        <f t="shared" si="4"/>
        <v>114</v>
      </c>
    </row>
    <row r="7" spans="1:11" x14ac:dyDescent="0.25">
      <c r="A7" s="6" t="s">
        <v>37</v>
      </c>
      <c r="B7" t="str">
        <f t="shared" si="0"/>
        <v xml:space="preserve"> 43742</v>
      </c>
      <c r="C7" t="str">
        <f t="shared" si="1"/>
        <v xml:space="preserve"> 43664</v>
      </c>
      <c r="D7" t="str">
        <f t="shared" si="2"/>
        <v>-4</v>
      </c>
      <c r="E7" t="str">
        <f t="shared" si="3"/>
        <v xml:space="preserve"> -4</v>
      </c>
      <c r="F7" s="5">
        <f t="shared" si="4"/>
        <v>198</v>
      </c>
      <c r="G7" s="5">
        <f t="shared" si="4"/>
        <v>120</v>
      </c>
    </row>
    <row r="8" spans="1:11" x14ac:dyDescent="0.25">
      <c r="A8" s="6" t="s">
        <v>38</v>
      </c>
      <c r="B8" t="str">
        <f t="shared" si="0"/>
        <v>-43327</v>
      </c>
      <c r="C8" t="str">
        <f t="shared" si="1"/>
        <v xml:space="preserve"> 43662</v>
      </c>
      <c r="D8" t="str">
        <f t="shared" si="2"/>
        <v xml:space="preserve"> 4</v>
      </c>
      <c r="E8" t="str">
        <f t="shared" si="3"/>
        <v xml:space="preserve"> -4</v>
      </c>
      <c r="F8" s="5">
        <f t="shared" si="4"/>
        <v>217</v>
      </c>
      <c r="G8" s="5">
        <f t="shared" si="4"/>
        <v>118</v>
      </c>
    </row>
    <row r="9" spans="1:11" x14ac:dyDescent="0.25">
      <c r="A9" s="6" t="s">
        <v>39</v>
      </c>
      <c r="B9" t="str">
        <f t="shared" si="0"/>
        <v>-43373</v>
      </c>
      <c r="C9" t="str">
        <f t="shared" si="1"/>
        <v xml:space="preserve"> 43655</v>
      </c>
      <c r="D9" t="str">
        <f t="shared" si="2"/>
        <v xml:space="preserve"> 4</v>
      </c>
      <c r="E9" t="str">
        <f t="shared" si="3"/>
        <v xml:space="preserve"> -4</v>
      </c>
      <c r="F9" s="5">
        <f t="shared" si="4"/>
        <v>171</v>
      </c>
      <c r="G9" s="5">
        <f t="shared" si="4"/>
        <v>111</v>
      </c>
    </row>
    <row r="10" spans="1:11" x14ac:dyDescent="0.25">
      <c r="A10" s="6" t="s">
        <v>40</v>
      </c>
      <c r="B10" t="str">
        <f t="shared" si="0"/>
        <v>-10677</v>
      </c>
      <c r="C10" t="str">
        <f t="shared" si="1"/>
        <v xml:space="preserve"> 32773</v>
      </c>
      <c r="D10" t="str">
        <f t="shared" si="2"/>
        <v xml:space="preserve"> 1</v>
      </c>
      <c r="E10" t="str">
        <f t="shared" si="3"/>
        <v xml:space="preserve"> -3</v>
      </c>
      <c r="F10" s="5">
        <f t="shared" si="4"/>
        <v>209</v>
      </c>
      <c r="G10" s="5">
        <f t="shared" si="4"/>
        <v>115</v>
      </c>
    </row>
    <row r="11" spans="1:11" x14ac:dyDescent="0.25">
      <c r="A11" s="6" t="s">
        <v>41</v>
      </c>
      <c r="B11" t="str">
        <f t="shared" si="0"/>
        <v>-43324</v>
      </c>
      <c r="C11" t="str">
        <f t="shared" si="1"/>
        <v xml:space="preserve"> 43664</v>
      </c>
      <c r="D11" t="str">
        <f t="shared" si="2"/>
        <v xml:space="preserve"> 4</v>
      </c>
      <c r="E11" t="str">
        <f t="shared" si="3"/>
        <v xml:space="preserve"> -4</v>
      </c>
      <c r="F11" s="5">
        <f t="shared" si="4"/>
        <v>220</v>
      </c>
      <c r="G11" s="5">
        <f t="shared" si="4"/>
        <v>120</v>
      </c>
    </row>
    <row r="12" spans="1:11" x14ac:dyDescent="0.25">
      <c r="A12" s="6" t="s">
        <v>42</v>
      </c>
      <c r="B12" t="str">
        <f t="shared" si="0"/>
        <v>-32447</v>
      </c>
      <c r="C12" t="str">
        <f t="shared" si="1"/>
        <v xml:space="preserve"> 43664</v>
      </c>
      <c r="D12" t="str">
        <f t="shared" si="2"/>
        <v xml:space="preserve"> 3</v>
      </c>
      <c r="E12" t="str">
        <f t="shared" si="3"/>
        <v xml:space="preserve"> -4</v>
      </c>
      <c r="F12" s="5">
        <f t="shared" si="4"/>
        <v>211</v>
      </c>
      <c r="G12" s="5">
        <f t="shared" si="4"/>
        <v>120</v>
      </c>
    </row>
    <row r="13" spans="1:11" x14ac:dyDescent="0.25">
      <c r="A13" s="6" t="s">
        <v>43</v>
      </c>
      <c r="B13" t="str">
        <f t="shared" si="0"/>
        <v xml:space="preserve"> 21946</v>
      </c>
      <c r="C13" t="str">
        <f t="shared" si="1"/>
        <v>-54317</v>
      </c>
      <c r="D13" t="str">
        <f t="shared" si="2"/>
        <v>-2</v>
      </c>
      <c r="E13" t="str">
        <f t="shared" si="3"/>
        <v xml:space="preserve">  5</v>
      </c>
      <c r="F13" s="5">
        <f t="shared" si="4"/>
        <v>174</v>
      </c>
      <c r="G13" s="5">
        <f t="shared" si="4"/>
        <v>113</v>
      </c>
    </row>
    <row r="14" spans="1:11" x14ac:dyDescent="0.25">
      <c r="A14" s="6" t="s">
        <v>44</v>
      </c>
      <c r="B14" t="str">
        <f t="shared" si="0"/>
        <v xml:space="preserve"> 11051</v>
      </c>
      <c r="C14" t="str">
        <f t="shared" si="1"/>
        <v>-10772</v>
      </c>
      <c r="D14" t="str">
        <f t="shared" si="2"/>
        <v>-1</v>
      </c>
      <c r="E14" t="str">
        <f t="shared" si="3"/>
        <v xml:space="preserve">  1</v>
      </c>
      <c r="F14" s="5">
        <f t="shared" si="4"/>
        <v>165</v>
      </c>
      <c r="G14" s="5">
        <f t="shared" si="4"/>
        <v>114</v>
      </c>
    </row>
    <row r="15" spans="1:11" x14ac:dyDescent="0.25">
      <c r="A15" s="6" t="s">
        <v>45</v>
      </c>
      <c r="B15" t="str">
        <f t="shared" si="0"/>
        <v xml:space="preserve"> 32824</v>
      </c>
      <c r="C15" t="str">
        <f t="shared" si="1"/>
        <v>-21652</v>
      </c>
      <c r="D15" t="str">
        <f t="shared" si="2"/>
        <v>-3</v>
      </c>
      <c r="E15" t="str">
        <f t="shared" si="3"/>
        <v xml:space="preserve">  2</v>
      </c>
      <c r="F15" s="5">
        <f t="shared" si="4"/>
        <v>166</v>
      </c>
      <c r="G15" s="5">
        <f t="shared" si="4"/>
        <v>120</v>
      </c>
    </row>
    <row r="16" spans="1:11" x14ac:dyDescent="0.25">
      <c r="A16" s="6" t="s">
        <v>46</v>
      </c>
      <c r="B16" t="str">
        <f t="shared" si="0"/>
        <v xml:space="preserve"> 11092</v>
      </c>
      <c r="C16" t="str">
        <f t="shared" si="1"/>
        <v>-21655</v>
      </c>
      <c r="D16" t="str">
        <f t="shared" si="2"/>
        <v>-1</v>
      </c>
      <c r="E16" t="str">
        <f t="shared" si="3"/>
        <v xml:space="preserve">  2</v>
      </c>
      <c r="F16" s="5">
        <f t="shared" si="4"/>
        <v>206</v>
      </c>
      <c r="G16" s="5">
        <f t="shared" si="4"/>
        <v>117</v>
      </c>
    </row>
    <row r="17" spans="1:70" x14ac:dyDescent="0.25">
      <c r="A17" s="6" t="s">
        <v>47</v>
      </c>
      <c r="B17" t="str">
        <f t="shared" si="0"/>
        <v xml:space="preserve"> 32863</v>
      </c>
      <c r="C17" t="str">
        <f t="shared" si="1"/>
        <v xml:space="preserve"> 11002</v>
      </c>
      <c r="D17" t="str">
        <f t="shared" si="2"/>
        <v>-3</v>
      </c>
      <c r="E17" t="str">
        <f t="shared" si="3"/>
        <v xml:space="preserve"> -1</v>
      </c>
      <c r="F17" s="5">
        <f t="shared" si="4"/>
        <v>205</v>
      </c>
      <c r="G17" s="5">
        <f t="shared" si="4"/>
        <v>116</v>
      </c>
    </row>
    <row r="18" spans="1:70" x14ac:dyDescent="0.25">
      <c r="A18" s="6" t="s">
        <v>48</v>
      </c>
      <c r="B18" t="str">
        <f t="shared" si="0"/>
        <v>-21562</v>
      </c>
      <c r="C18" t="str">
        <f t="shared" si="1"/>
        <v xml:space="preserve"> 10997</v>
      </c>
      <c r="D18" t="str">
        <f t="shared" si="2"/>
        <v xml:space="preserve"> 2</v>
      </c>
      <c r="E18" t="str">
        <f t="shared" si="3"/>
        <v xml:space="preserve"> -1</v>
      </c>
      <c r="F18" s="5">
        <f t="shared" si="4"/>
        <v>210</v>
      </c>
      <c r="G18" s="5">
        <f t="shared" si="4"/>
        <v>111</v>
      </c>
    </row>
    <row r="19" spans="1:70" x14ac:dyDescent="0.25">
      <c r="A19" s="6" t="s">
        <v>49</v>
      </c>
      <c r="B19" t="str">
        <f t="shared" si="0"/>
        <v>-10725</v>
      </c>
      <c r="C19" t="str">
        <f t="shared" si="1"/>
        <v xml:space="preserve"> 43662</v>
      </c>
      <c r="D19" t="str">
        <f t="shared" si="2"/>
        <v xml:space="preserve"> 1</v>
      </c>
      <c r="E19" t="str">
        <f t="shared" si="3"/>
        <v xml:space="preserve"> -4</v>
      </c>
      <c r="F19" s="5">
        <f t="shared" si="4"/>
        <v>161</v>
      </c>
      <c r="G19" s="5">
        <f t="shared" si="4"/>
        <v>118</v>
      </c>
    </row>
    <row r="20" spans="1:70" x14ac:dyDescent="0.25">
      <c r="A20" s="6" t="s">
        <v>50</v>
      </c>
      <c r="B20" t="str">
        <f t="shared" si="0"/>
        <v xml:space="preserve"> 11074</v>
      </c>
      <c r="C20" t="str">
        <f t="shared" si="1"/>
        <v xml:space="preserve"> 11006</v>
      </c>
      <c r="D20" t="str">
        <f t="shared" si="2"/>
        <v>-1</v>
      </c>
      <c r="E20" t="str">
        <f t="shared" si="3"/>
        <v xml:space="preserve"> -1</v>
      </c>
      <c r="F20" s="5">
        <f t="shared" si="4"/>
        <v>188</v>
      </c>
      <c r="G20" s="5">
        <f t="shared" si="4"/>
        <v>120</v>
      </c>
    </row>
    <row r="21" spans="1:70" x14ac:dyDescent="0.25">
      <c r="A21" s="6" t="s">
        <v>51</v>
      </c>
      <c r="B21" t="str">
        <f t="shared" si="0"/>
        <v>-54209</v>
      </c>
      <c r="C21" t="str">
        <f t="shared" si="1"/>
        <v>-10768</v>
      </c>
      <c r="D21" t="str">
        <f t="shared" si="2"/>
        <v xml:space="preserve"> 5</v>
      </c>
      <c r="E21" t="str">
        <f t="shared" si="3"/>
        <v xml:space="preserve">  1</v>
      </c>
      <c r="F21" s="5">
        <f t="shared" si="4"/>
        <v>221</v>
      </c>
      <c r="G21" s="5">
        <f t="shared" si="4"/>
        <v>118</v>
      </c>
    </row>
    <row r="22" spans="1:70" x14ac:dyDescent="0.25">
      <c r="A22" s="6" t="s">
        <v>52</v>
      </c>
      <c r="B22" t="str">
        <f t="shared" si="0"/>
        <v xml:space="preserve"> 43710</v>
      </c>
      <c r="C22" t="str">
        <f t="shared" si="1"/>
        <v>-10774</v>
      </c>
      <c r="D22" t="str">
        <f t="shared" si="2"/>
        <v>-4</v>
      </c>
      <c r="E22" t="str">
        <f t="shared" si="3"/>
        <v xml:space="preserve">  1</v>
      </c>
      <c r="F22" s="5">
        <f t="shared" si="4"/>
        <v>166</v>
      </c>
      <c r="G22" s="5">
        <f t="shared" si="4"/>
        <v>112</v>
      </c>
    </row>
    <row r="23" spans="1:70" x14ac:dyDescent="0.25">
      <c r="A23" s="6" t="s">
        <v>53</v>
      </c>
      <c r="B23" t="str">
        <f t="shared" si="0"/>
        <v xml:space="preserve"> 54615</v>
      </c>
      <c r="C23" t="str">
        <f t="shared" si="1"/>
        <v xml:space="preserve"> 54544</v>
      </c>
      <c r="D23" t="str">
        <f t="shared" si="2"/>
        <v>-5</v>
      </c>
      <c r="E23" t="str">
        <f t="shared" si="3"/>
        <v xml:space="preserve"> -5</v>
      </c>
      <c r="F23" s="5">
        <f t="shared" si="4"/>
        <v>185</v>
      </c>
      <c r="G23" s="5">
        <f t="shared" si="4"/>
        <v>114</v>
      </c>
    </row>
    <row r="24" spans="1:70" x14ac:dyDescent="0.25">
      <c r="A24" s="6" t="s">
        <v>54</v>
      </c>
      <c r="B24" t="str">
        <f t="shared" si="0"/>
        <v xml:space="preserve"> 32859</v>
      </c>
      <c r="C24" t="str">
        <f t="shared" si="1"/>
        <v>-21659</v>
      </c>
      <c r="D24" t="str">
        <f t="shared" si="2"/>
        <v>-3</v>
      </c>
      <c r="E24" t="str">
        <f t="shared" si="3"/>
        <v xml:space="preserve">  2</v>
      </c>
      <c r="F24" s="5">
        <f t="shared" si="4"/>
        <v>201</v>
      </c>
      <c r="G24" s="5">
        <f t="shared" si="4"/>
        <v>113</v>
      </c>
    </row>
    <row r="25" spans="1:70" x14ac:dyDescent="0.25">
      <c r="A25" s="6" t="s">
        <v>55</v>
      </c>
      <c r="B25" t="str">
        <f t="shared" si="0"/>
        <v xml:space="preserve"> 11052</v>
      </c>
      <c r="C25" t="str">
        <f t="shared" si="1"/>
        <v xml:space="preserve"> 10997</v>
      </c>
      <c r="D25" t="str">
        <f t="shared" si="2"/>
        <v>-1</v>
      </c>
      <c r="E25" t="str">
        <f t="shared" si="3"/>
        <v xml:space="preserve"> -1</v>
      </c>
      <c r="F25" s="5">
        <f t="shared" si="4"/>
        <v>166</v>
      </c>
      <c r="G25" s="5">
        <f t="shared" si="4"/>
        <v>111</v>
      </c>
    </row>
    <row r="26" spans="1:70" x14ac:dyDescent="0.25">
      <c r="A26" s="6" t="s">
        <v>56</v>
      </c>
      <c r="B26" t="str">
        <f t="shared" si="0"/>
        <v xml:space="preserve"> 21957</v>
      </c>
      <c r="C26" t="str">
        <f t="shared" si="1"/>
        <v>-32542</v>
      </c>
      <c r="D26" t="str">
        <f t="shared" si="2"/>
        <v>-2</v>
      </c>
      <c r="E26" t="str">
        <f t="shared" si="3"/>
        <v xml:space="preserve">  3</v>
      </c>
      <c r="F26" s="5">
        <f t="shared" si="4"/>
        <v>185</v>
      </c>
      <c r="G26" s="5">
        <f t="shared" si="4"/>
        <v>116</v>
      </c>
    </row>
    <row r="27" spans="1:70" x14ac:dyDescent="0.25">
      <c r="A27" s="6" t="s">
        <v>57</v>
      </c>
      <c r="B27" t="str">
        <f t="shared" si="0"/>
        <v>-10714</v>
      </c>
      <c r="C27" t="str">
        <f t="shared" si="1"/>
        <v xml:space="preserve"> 10997</v>
      </c>
      <c r="D27" t="str">
        <f t="shared" si="2"/>
        <v xml:space="preserve"> 1</v>
      </c>
      <c r="E27" t="str">
        <f t="shared" si="3"/>
        <v xml:space="preserve"> -1</v>
      </c>
      <c r="F27" s="5">
        <f t="shared" si="4"/>
        <v>172</v>
      </c>
      <c r="G27" s="5">
        <f t="shared" si="4"/>
        <v>111</v>
      </c>
    </row>
    <row r="28" spans="1:70" x14ac:dyDescent="0.25">
      <c r="A28" s="6" t="s">
        <v>58</v>
      </c>
      <c r="B28" t="str">
        <f t="shared" si="0"/>
        <v xml:space="preserve"> 32847</v>
      </c>
      <c r="C28" t="str">
        <f t="shared" si="1"/>
        <v>-21652</v>
      </c>
      <c r="D28" t="str">
        <f t="shared" si="2"/>
        <v>-3</v>
      </c>
      <c r="E28" t="str">
        <f t="shared" si="3"/>
        <v xml:space="preserve">  2</v>
      </c>
      <c r="F28" s="5">
        <f t="shared" si="4"/>
        <v>189</v>
      </c>
      <c r="G28" s="5">
        <f t="shared" si="4"/>
        <v>120</v>
      </c>
    </row>
    <row r="29" spans="1:70" x14ac:dyDescent="0.25">
      <c r="A29" s="6" t="s">
        <v>59</v>
      </c>
      <c r="B29" t="str">
        <f t="shared" si="0"/>
        <v>-21561</v>
      </c>
      <c r="C29" t="str">
        <f t="shared" si="1"/>
        <v>-32547</v>
      </c>
      <c r="D29" t="str">
        <f t="shared" si="2"/>
        <v xml:space="preserve"> 2</v>
      </c>
      <c r="E29" t="str">
        <f t="shared" si="3"/>
        <v xml:space="preserve">  3</v>
      </c>
      <c r="F29" s="5">
        <f t="shared" si="4"/>
        <v>211</v>
      </c>
      <c r="G29" s="5">
        <f t="shared" si="4"/>
        <v>111</v>
      </c>
    </row>
    <row r="30" spans="1:70" x14ac:dyDescent="0.25">
      <c r="A30" s="6" t="s">
        <v>60</v>
      </c>
      <c r="B30" t="str">
        <f t="shared" si="0"/>
        <v xml:space="preserve"> 11074</v>
      </c>
      <c r="C30" t="str">
        <f t="shared" si="1"/>
        <v xml:space="preserve"> 21887</v>
      </c>
      <c r="D30" t="str">
        <f t="shared" si="2"/>
        <v>-1</v>
      </c>
      <c r="E30" t="str">
        <f t="shared" si="3"/>
        <v xml:space="preserve"> -2</v>
      </c>
      <c r="F30" s="5">
        <f t="shared" si="4"/>
        <v>188</v>
      </c>
      <c r="G30" s="5">
        <f t="shared" si="4"/>
        <v>115</v>
      </c>
      <c r="BK30" s="5"/>
      <c r="BL30" s="5"/>
      <c r="BM30" s="5"/>
      <c r="BN30" s="5"/>
      <c r="BO30" s="5"/>
      <c r="BP30" s="5"/>
      <c r="BQ30" s="5"/>
      <c r="BR30" s="5"/>
    </row>
    <row r="31" spans="1:70" x14ac:dyDescent="0.25">
      <c r="A31" s="6" t="s">
        <v>61</v>
      </c>
      <c r="B31" t="str">
        <f t="shared" si="0"/>
        <v>-43339</v>
      </c>
      <c r="C31" t="str">
        <f t="shared" si="1"/>
        <v>-21656</v>
      </c>
      <c r="D31" t="str">
        <f t="shared" si="2"/>
        <v xml:space="preserve"> 4</v>
      </c>
      <c r="E31" t="str">
        <f t="shared" si="3"/>
        <v xml:space="preserve">  2</v>
      </c>
      <c r="F31" s="5">
        <f t="shared" si="4"/>
        <v>205</v>
      </c>
      <c r="G31" s="5">
        <f t="shared" si="4"/>
        <v>116</v>
      </c>
      <c r="BK31" s="5"/>
      <c r="BL31" s="5"/>
      <c r="BM31" s="5"/>
      <c r="BN31" s="5"/>
      <c r="BO31" s="5"/>
      <c r="BP31" s="5"/>
      <c r="BQ31" s="5"/>
      <c r="BR31" s="5"/>
    </row>
    <row r="32" spans="1:70" x14ac:dyDescent="0.25">
      <c r="A32" s="6" t="s">
        <v>62</v>
      </c>
      <c r="B32" t="str">
        <f t="shared" si="0"/>
        <v xml:space="preserve"> 54643</v>
      </c>
      <c r="C32" t="str">
        <f t="shared" si="1"/>
        <v xml:space="preserve"> 54541</v>
      </c>
      <c r="D32" t="str">
        <f t="shared" si="2"/>
        <v>-5</v>
      </c>
      <c r="E32" t="str">
        <f t="shared" si="3"/>
        <v xml:space="preserve"> -5</v>
      </c>
      <c r="F32" s="5">
        <f t="shared" si="4"/>
        <v>213</v>
      </c>
      <c r="G32" s="5">
        <f t="shared" si="4"/>
        <v>111</v>
      </c>
      <c r="BK32" s="5"/>
      <c r="BL32" s="5"/>
      <c r="BM32" s="5"/>
      <c r="BN32" s="5"/>
      <c r="BO32" s="5"/>
      <c r="BP32" s="5"/>
      <c r="BQ32" s="5"/>
      <c r="BR32" s="5"/>
    </row>
    <row r="33" spans="1:70" x14ac:dyDescent="0.25">
      <c r="A33" s="6" t="s">
        <v>63</v>
      </c>
      <c r="B33" t="str">
        <f t="shared" si="0"/>
        <v>-32477</v>
      </c>
      <c r="C33" t="str">
        <f t="shared" si="1"/>
        <v>-32547</v>
      </c>
      <c r="D33" t="str">
        <f t="shared" si="2"/>
        <v xml:space="preserve"> 3</v>
      </c>
      <c r="E33" t="str">
        <f t="shared" si="3"/>
        <v xml:space="preserve">  3</v>
      </c>
      <c r="F33" s="5">
        <f t="shared" ref="F33:F96" si="5">B33+(D33*$I$1)</f>
        <v>181</v>
      </c>
      <c r="G33" s="5">
        <f t="shared" ref="G33:G96" si="6">C33+(E33*$I$1)</f>
        <v>111</v>
      </c>
      <c r="BK33" s="5"/>
      <c r="BL33" s="5"/>
      <c r="BM33" s="5"/>
      <c r="BN33" s="5"/>
      <c r="BO33" s="5"/>
      <c r="BP33" s="5"/>
      <c r="BQ33" s="5"/>
      <c r="BR33" s="5"/>
    </row>
    <row r="34" spans="1:70" x14ac:dyDescent="0.25">
      <c r="A34" s="6" t="s">
        <v>64</v>
      </c>
      <c r="B34" t="str">
        <f t="shared" si="0"/>
        <v>-21571</v>
      </c>
      <c r="C34" t="str">
        <f t="shared" ref="C34:C97" si="7">MID(A34,19,6)</f>
        <v xml:space="preserve"> 11005</v>
      </c>
      <c r="D34" t="str">
        <f t="shared" ref="D34:D97" si="8">MID(A34,37,2)</f>
        <v xml:space="preserve"> 2</v>
      </c>
      <c r="E34" t="str">
        <f t="shared" ref="E34:E97" si="9">MID(A34,40,3)</f>
        <v xml:space="preserve"> -1</v>
      </c>
      <c r="F34" s="5">
        <f t="shared" si="5"/>
        <v>201</v>
      </c>
      <c r="G34" s="5">
        <f t="shared" si="6"/>
        <v>119</v>
      </c>
      <c r="BK34" s="5"/>
      <c r="BL34" s="5"/>
      <c r="BM34" s="5"/>
      <c r="BN34" s="5"/>
      <c r="BO34" s="5"/>
      <c r="BP34" s="5"/>
      <c r="BQ34" s="5"/>
      <c r="BR34" s="5"/>
    </row>
    <row r="35" spans="1:70" x14ac:dyDescent="0.25">
      <c r="A35" s="6" t="s">
        <v>65</v>
      </c>
      <c r="B35" t="str">
        <f t="shared" si="0"/>
        <v>-10701</v>
      </c>
      <c r="C35" t="str">
        <f t="shared" si="7"/>
        <v>-54314</v>
      </c>
      <c r="D35" t="str">
        <f t="shared" si="8"/>
        <v xml:space="preserve"> 1</v>
      </c>
      <c r="E35" t="str">
        <f t="shared" si="9"/>
        <v xml:space="preserve">  5</v>
      </c>
      <c r="F35" s="5">
        <f t="shared" si="5"/>
        <v>185</v>
      </c>
      <c r="G35" s="5">
        <f t="shared" si="6"/>
        <v>116</v>
      </c>
      <c r="BK35" s="5"/>
      <c r="BL35" s="5"/>
      <c r="BM35" s="5"/>
      <c r="BN35" s="5"/>
      <c r="BO35" s="5"/>
      <c r="BP35" s="5"/>
      <c r="BQ35" s="5"/>
      <c r="BR35" s="5"/>
    </row>
    <row r="36" spans="1:70" x14ac:dyDescent="0.25">
      <c r="A36" s="6" t="s">
        <v>66</v>
      </c>
      <c r="B36" t="str">
        <f t="shared" si="0"/>
        <v>-21584</v>
      </c>
      <c r="C36" t="str">
        <f t="shared" si="7"/>
        <v>-43429</v>
      </c>
      <c r="D36" t="str">
        <f t="shared" si="8"/>
        <v xml:space="preserve"> 2</v>
      </c>
      <c r="E36" t="str">
        <f t="shared" si="9"/>
        <v xml:space="preserve">  4</v>
      </c>
      <c r="F36" s="5">
        <f t="shared" si="5"/>
        <v>188</v>
      </c>
      <c r="G36" s="5">
        <f t="shared" si="6"/>
        <v>115</v>
      </c>
      <c r="BK36" s="5"/>
      <c r="BL36" s="5"/>
      <c r="BM36" s="5"/>
      <c r="BN36" s="5"/>
      <c r="BO36" s="5"/>
      <c r="BP36" s="5"/>
      <c r="BQ36" s="5"/>
      <c r="BR36" s="5"/>
    </row>
    <row r="37" spans="1:70" x14ac:dyDescent="0.25">
      <c r="A37" s="6" t="s">
        <v>67</v>
      </c>
      <c r="B37" t="str">
        <f t="shared" si="0"/>
        <v>-21595</v>
      </c>
      <c r="C37" t="str">
        <f t="shared" si="7"/>
        <v>-32542</v>
      </c>
      <c r="D37" t="str">
        <f t="shared" si="8"/>
        <v xml:space="preserve"> 2</v>
      </c>
      <c r="E37" t="str">
        <f t="shared" si="9"/>
        <v xml:space="preserve">  3</v>
      </c>
      <c r="F37" s="5">
        <f t="shared" si="5"/>
        <v>177</v>
      </c>
      <c r="G37" s="5">
        <f t="shared" si="6"/>
        <v>116</v>
      </c>
      <c r="BK37" s="5"/>
      <c r="BL37" s="5"/>
      <c r="BM37" s="5"/>
      <c r="BN37" s="5"/>
      <c r="BO37" s="5"/>
      <c r="BP37" s="5"/>
      <c r="BQ37" s="5"/>
      <c r="BR37" s="5"/>
    </row>
    <row r="38" spans="1:70" x14ac:dyDescent="0.25">
      <c r="A38" s="6" t="s">
        <v>68</v>
      </c>
      <c r="B38" t="str">
        <f t="shared" si="0"/>
        <v xml:space="preserve"> 54594</v>
      </c>
      <c r="C38" t="str">
        <f t="shared" si="7"/>
        <v xml:space="preserve"> 21887</v>
      </c>
      <c r="D38" t="str">
        <f t="shared" si="8"/>
        <v>-5</v>
      </c>
      <c r="E38" t="str">
        <f t="shared" si="9"/>
        <v xml:space="preserve"> -2</v>
      </c>
      <c r="F38" s="5">
        <f t="shared" si="5"/>
        <v>164</v>
      </c>
      <c r="G38" s="5">
        <f t="shared" si="6"/>
        <v>115</v>
      </c>
      <c r="BK38" s="5"/>
      <c r="BL38" s="5"/>
      <c r="BM38" s="5"/>
      <c r="BN38" s="5"/>
      <c r="BO38" s="5"/>
      <c r="BP38" s="5"/>
      <c r="BQ38" s="5"/>
      <c r="BR38" s="5"/>
    </row>
    <row r="39" spans="1:70" x14ac:dyDescent="0.25">
      <c r="A39" s="6" t="s">
        <v>69</v>
      </c>
      <c r="B39" t="str">
        <f t="shared" si="0"/>
        <v xml:space="preserve"> 21970</v>
      </c>
      <c r="C39" t="str">
        <f t="shared" si="7"/>
        <v xml:space="preserve"> 32774</v>
      </c>
      <c r="D39" t="str">
        <f t="shared" si="8"/>
        <v>-2</v>
      </c>
      <c r="E39" t="str">
        <f t="shared" si="9"/>
        <v xml:space="preserve"> -3</v>
      </c>
      <c r="F39" s="5">
        <f t="shared" si="5"/>
        <v>198</v>
      </c>
      <c r="G39" s="5">
        <f t="shared" si="6"/>
        <v>116</v>
      </c>
      <c r="BK39" s="5"/>
      <c r="BL39" s="5"/>
      <c r="BM39" s="5"/>
      <c r="BN39" s="5"/>
      <c r="BO39" s="5"/>
      <c r="BP39" s="5"/>
      <c r="BQ39" s="5"/>
      <c r="BR39" s="5"/>
    </row>
    <row r="40" spans="1:70" x14ac:dyDescent="0.25">
      <c r="A40" s="6" t="s">
        <v>70</v>
      </c>
      <c r="B40" t="str">
        <f t="shared" si="0"/>
        <v>-54237</v>
      </c>
      <c r="C40" t="str">
        <f t="shared" si="7"/>
        <v>-43425</v>
      </c>
      <c r="D40" t="str">
        <f t="shared" si="8"/>
        <v xml:space="preserve"> 5</v>
      </c>
      <c r="E40" t="str">
        <f t="shared" si="9"/>
        <v xml:space="preserve">  4</v>
      </c>
      <c r="F40" s="5">
        <f t="shared" si="5"/>
        <v>193</v>
      </c>
      <c r="G40" s="5">
        <f t="shared" si="6"/>
        <v>119</v>
      </c>
      <c r="BK40" s="5"/>
      <c r="BL40" s="5"/>
      <c r="BM40" s="5"/>
      <c r="BN40" s="5"/>
      <c r="BO40" s="5"/>
      <c r="BP40" s="5"/>
      <c r="BQ40" s="5"/>
      <c r="BR40" s="5"/>
    </row>
    <row r="41" spans="1:70" x14ac:dyDescent="0.25">
      <c r="A41" s="6" t="s">
        <v>71</v>
      </c>
      <c r="B41" t="str">
        <f t="shared" si="0"/>
        <v xml:space="preserve"> 43732</v>
      </c>
      <c r="C41" t="str">
        <f t="shared" si="7"/>
        <v>-54319</v>
      </c>
      <c r="D41" t="str">
        <f t="shared" si="8"/>
        <v>-4</v>
      </c>
      <c r="E41" t="str">
        <f t="shared" si="9"/>
        <v xml:space="preserve">  5</v>
      </c>
      <c r="F41" s="5">
        <f t="shared" si="5"/>
        <v>188</v>
      </c>
      <c r="G41" s="5">
        <f t="shared" si="6"/>
        <v>111</v>
      </c>
      <c r="BK41" s="5"/>
      <c r="BL41" s="5"/>
      <c r="BM41" s="5"/>
      <c r="BN41" s="5"/>
      <c r="BO41" s="5"/>
      <c r="BP41" s="5"/>
      <c r="BQ41" s="5"/>
      <c r="BR41" s="5"/>
    </row>
    <row r="42" spans="1:70" x14ac:dyDescent="0.25">
      <c r="A42" s="6" t="s">
        <v>72</v>
      </c>
      <c r="B42" t="str">
        <f t="shared" si="0"/>
        <v>-32488</v>
      </c>
      <c r="C42" t="str">
        <f t="shared" si="7"/>
        <v>-10766</v>
      </c>
      <c r="D42" t="str">
        <f t="shared" si="8"/>
        <v xml:space="preserve"> 3</v>
      </c>
      <c r="E42" t="str">
        <f t="shared" si="9"/>
        <v xml:space="preserve">  1</v>
      </c>
      <c r="F42" s="5">
        <f t="shared" si="5"/>
        <v>170</v>
      </c>
      <c r="G42" s="5">
        <f t="shared" si="6"/>
        <v>120</v>
      </c>
      <c r="BK42" s="5"/>
      <c r="BL42" s="5"/>
      <c r="BM42" s="5"/>
      <c r="BN42" s="5"/>
      <c r="BO42" s="5"/>
      <c r="BP42" s="5"/>
      <c r="BQ42" s="5"/>
      <c r="BR42" s="5"/>
    </row>
    <row r="43" spans="1:70" x14ac:dyDescent="0.25">
      <c r="A43" s="6" t="s">
        <v>73</v>
      </c>
      <c r="B43" t="str">
        <f t="shared" si="0"/>
        <v>-32473</v>
      </c>
      <c r="C43" t="str">
        <f t="shared" si="7"/>
        <v>-43433</v>
      </c>
      <c r="D43" t="str">
        <f t="shared" si="8"/>
        <v xml:space="preserve"> 3</v>
      </c>
      <c r="E43" t="str">
        <f t="shared" si="9"/>
        <v xml:space="preserve">  4</v>
      </c>
      <c r="F43" s="5">
        <f t="shared" si="5"/>
        <v>185</v>
      </c>
      <c r="G43" s="5">
        <f t="shared" si="6"/>
        <v>111</v>
      </c>
      <c r="BK43" s="5"/>
      <c r="BL43" s="5"/>
      <c r="BM43" s="5"/>
      <c r="BN43" s="5"/>
      <c r="BO43" s="5"/>
      <c r="BP43" s="5"/>
      <c r="BQ43" s="5"/>
      <c r="BR43" s="5"/>
    </row>
    <row r="44" spans="1:70" x14ac:dyDescent="0.25">
      <c r="A44" s="6" t="s">
        <v>74</v>
      </c>
      <c r="B44" t="str">
        <f t="shared" si="0"/>
        <v>-43370</v>
      </c>
      <c r="C44" t="str">
        <f t="shared" si="7"/>
        <v xml:space="preserve"> 10998</v>
      </c>
      <c r="D44" t="str">
        <f t="shared" si="8"/>
        <v xml:space="preserve"> 4</v>
      </c>
      <c r="E44" t="str">
        <f t="shared" si="9"/>
        <v xml:space="preserve"> -1</v>
      </c>
      <c r="F44" s="5">
        <f t="shared" si="5"/>
        <v>174</v>
      </c>
      <c r="G44" s="5">
        <f t="shared" si="6"/>
        <v>112</v>
      </c>
      <c r="BK44" s="5"/>
      <c r="BL44" s="5"/>
      <c r="BM44" s="5"/>
      <c r="BN44" s="5"/>
      <c r="BO44" s="5"/>
      <c r="BP44" s="5"/>
      <c r="BQ44" s="5"/>
      <c r="BR44" s="5"/>
    </row>
    <row r="45" spans="1:70" x14ac:dyDescent="0.25">
      <c r="A45" s="6" t="s">
        <v>75</v>
      </c>
      <c r="B45" t="str">
        <f t="shared" si="0"/>
        <v>-43347</v>
      </c>
      <c r="C45" t="str">
        <f t="shared" si="7"/>
        <v xml:space="preserve"> 32777</v>
      </c>
      <c r="D45" t="str">
        <f t="shared" si="8"/>
        <v xml:space="preserve"> 4</v>
      </c>
      <c r="E45" t="str">
        <f t="shared" si="9"/>
        <v xml:space="preserve"> -3</v>
      </c>
      <c r="F45" s="5">
        <f t="shared" si="5"/>
        <v>197</v>
      </c>
      <c r="G45" s="5">
        <f t="shared" si="6"/>
        <v>119</v>
      </c>
      <c r="BK45" s="5"/>
      <c r="BL45" s="5"/>
      <c r="BM45" s="5"/>
      <c r="BN45" s="5"/>
      <c r="BO45" s="5"/>
      <c r="BP45" s="5"/>
      <c r="BQ45" s="5"/>
      <c r="BR45" s="5"/>
    </row>
    <row r="46" spans="1:70" x14ac:dyDescent="0.25">
      <c r="A46" s="6" t="s">
        <v>76</v>
      </c>
      <c r="B46" t="str">
        <f t="shared" si="0"/>
        <v>-32460</v>
      </c>
      <c r="C46" t="str">
        <f t="shared" si="7"/>
        <v xml:space="preserve"> 11002</v>
      </c>
      <c r="D46" t="str">
        <f t="shared" si="8"/>
        <v xml:space="preserve"> 3</v>
      </c>
      <c r="E46" t="str">
        <f t="shared" si="9"/>
        <v xml:space="preserve"> -1</v>
      </c>
      <c r="F46" s="5">
        <f t="shared" si="5"/>
        <v>198</v>
      </c>
      <c r="G46" s="5">
        <f t="shared" si="6"/>
        <v>116</v>
      </c>
      <c r="BK46" s="5"/>
      <c r="BL46" s="5"/>
      <c r="BM46" s="5"/>
      <c r="BN46" s="5"/>
      <c r="BO46" s="5"/>
      <c r="BP46" s="5"/>
      <c r="BQ46" s="5"/>
      <c r="BR46" s="5"/>
    </row>
    <row r="47" spans="1:70" x14ac:dyDescent="0.25">
      <c r="A47" s="6" t="s">
        <v>77</v>
      </c>
      <c r="B47" t="str">
        <f t="shared" si="0"/>
        <v xml:space="preserve"> 21962</v>
      </c>
      <c r="C47" t="str">
        <f t="shared" si="7"/>
        <v>-21659</v>
      </c>
      <c r="D47" t="str">
        <f t="shared" si="8"/>
        <v>-2</v>
      </c>
      <c r="E47" t="str">
        <f t="shared" si="9"/>
        <v xml:space="preserve">  2</v>
      </c>
      <c r="F47" s="5">
        <f t="shared" si="5"/>
        <v>190</v>
      </c>
      <c r="G47" s="5">
        <f t="shared" si="6"/>
        <v>113</v>
      </c>
      <c r="BK47" s="5"/>
      <c r="BL47" s="5"/>
      <c r="BM47" s="5"/>
      <c r="BN47" s="5"/>
      <c r="BO47" s="5"/>
      <c r="BP47" s="5"/>
      <c r="BQ47" s="5"/>
      <c r="BR47" s="5"/>
    </row>
    <row r="48" spans="1:70" x14ac:dyDescent="0.25">
      <c r="A48" s="6" t="s">
        <v>78</v>
      </c>
      <c r="B48" t="str">
        <f t="shared" si="0"/>
        <v xml:space="preserve"> 21981</v>
      </c>
      <c r="C48" t="str">
        <f t="shared" si="7"/>
        <v xml:space="preserve"> 21889</v>
      </c>
      <c r="D48" t="str">
        <f t="shared" si="8"/>
        <v>-2</v>
      </c>
      <c r="E48" t="str">
        <f t="shared" si="9"/>
        <v xml:space="preserve"> -2</v>
      </c>
      <c r="F48" s="5">
        <f t="shared" si="5"/>
        <v>209</v>
      </c>
      <c r="G48" s="5">
        <f t="shared" si="6"/>
        <v>117</v>
      </c>
      <c r="BK48" s="5"/>
      <c r="BL48" s="5"/>
      <c r="BM48" s="5"/>
      <c r="BN48" s="5"/>
      <c r="BO48" s="5"/>
      <c r="BP48" s="5"/>
      <c r="BQ48" s="5"/>
      <c r="BR48" s="5"/>
    </row>
    <row r="49" spans="1:350" x14ac:dyDescent="0.25">
      <c r="A49" s="6" t="s">
        <v>79</v>
      </c>
      <c r="B49" t="str">
        <f t="shared" si="0"/>
        <v>-32437</v>
      </c>
      <c r="C49" t="str">
        <f t="shared" si="7"/>
        <v>-21656</v>
      </c>
      <c r="D49" t="str">
        <f t="shared" si="8"/>
        <v xml:space="preserve"> 3</v>
      </c>
      <c r="E49" t="str">
        <f t="shared" si="9"/>
        <v xml:space="preserve">  2</v>
      </c>
      <c r="F49" s="5">
        <f t="shared" si="5"/>
        <v>221</v>
      </c>
      <c r="G49" s="5">
        <f t="shared" si="6"/>
        <v>116</v>
      </c>
      <c r="BK49" s="5"/>
      <c r="BL49" s="5"/>
      <c r="BM49" s="5"/>
      <c r="BN49" s="5"/>
      <c r="BO49" s="5"/>
      <c r="BP49" s="5"/>
      <c r="BQ49" s="5"/>
      <c r="BR49" s="5"/>
    </row>
    <row r="50" spans="1:350" x14ac:dyDescent="0.25">
      <c r="A50" s="6" t="s">
        <v>80</v>
      </c>
      <c r="B50" t="str">
        <f t="shared" si="0"/>
        <v>-43347</v>
      </c>
      <c r="C50" t="str">
        <f t="shared" si="7"/>
        <v>-21653</v>
      </c>
      <c r="D50" t="str">
        <f t="shared" si="8"/>
        <v xml:space="preserve"> 4</v>
      </c>
      <c r="E50" t="str">
        <f t="shared" si="9"/>
        <v xml:space="preserve">  2</v>
      </c>
      <c r="F50" s="5">
        <f t="shared" si="5"/>
        <v>197</v>
      </c>
      <c r="G50" s="5">
        <f t="shared" si="6"/>
        <v>119</v>
      </c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</row>
    <row r="51" spans="1:350" x14ac:dyDescent="0.25">
      <c r="A51" s="6" t="s">
        <v>81</v>
      </c>
      <c r="B51" t="str">
        <f t="shared" si="0"/>
        <v xml:space="preserve"> 54652</v>
      </c>
      <c r="C51" t="str">
        <f t="shared" si="7"/>
        <v xml:space="preserve"> 54541</v>
      </c>
      <c r="D51" t="str">
        <f t="shared" si="8"/>
        <v>-5</v>
      </c>
      <c r="E51" t="str">
        <f t="shared" si="9"/>
        <v xml:space="preserve"> -5</v>
      </c>
      <c r="F51" s="5">
        <f t="shared" si="5"/>
        <v>222</v>
      </c>
      <c r="G51" s="5">
        <f t="shared" si="6"/>
        <v>111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</row>
    <row r="52" spans="1:350" x14ac:dyDescent="0.25">
      <c r="A52" s="6" t="s">
        <v>82</v>
      </c>
      <c r="B52" t="str">
        <f t="shared" si="0"/>
        <v>-21606</v>
      </c>
      <c r="C52" t="str">
        <f t="shared" si="7"/>
        <v>-54319</v>
      </c>
      <c r="D52" t="str">
        <f t="shared" si="8"/>
        <v xml:space="preserve"> 2</v>
      </c>
      <c r="E52" t="str">
        <f t="shared" si="9"/>
        <v xml:space="preserve">  5</v>
      </c>
      <c r="F52" s="5">
        <f t="shared" si="5"/>
        <v>166</v>
      </c>
      <c r="G52" s="5">
        <f t="shared" si="6"/>
        <v>111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</row>
    <row r="53" spans="1:350" x14ac:dyDescent="0.25">
      <c r="A53" s="6" t="s">
        <v>83</v>
      </c>
      <c r="B53" t="str">
        <f t="shared" si="0"/>
        <v xml:space="preserve"> 11055</v>
      </c>
      <c r="C53" t="str">
        <f t="shared" si="7"/>
        <v xml:space="preserve"> 54549</v>
      </c>
      <c r="D53" t="str">
        <f t="shared" si="8"/>
        <v>-1</v>
      </c>
      <c r="E53" t="str">
        <f t="shared" si="9"/>
        <v xml:space="preserve"> -5</v>
      </c>
      <c r="F53" s="5">
        <f t="shared" si="5"/>
        <v>169</v>
      </c>
      <c r="G53" s="5">
        <f t="shared" si="6"/>
        <v>119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</row>
    <row r="54" spans="1:350" x14ac:dyDescent="0.25">
      <c r="A54" s="6" t="s">
        <v>84</v>
      </c>
      <c r="B54" t="str">
        <f t="shared" si="0"/>
        <v>-54259</v>
      </c>
      <c r="C54" t="str">
        <f t="shared" si="7"/>
        <v xml:space="preserve"> 21892</v>
      </c>
      <c r="D54" t="str">
        <f t="shared" si="8"/>
        <v xml:space="preserve"> 5</v>
      </c>
      <c r="E54" t="str">
        <f t="shared" si="9"/>
        <v xml:space="preserve"> -2</v>
      </c>
      <c r="F54" s="5">
        <f t="shared" si="5"/>
        <v>171</v>
      </c>
      <c r="G54" s="5">
        <f t="shared" si="6"/>
        <v>120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</row>
    <row r="55" spans="1:350" x14ac:dyDescent="0.25">
      <c r="A55" s="6" t="s">
        <v>85</v>
      </c>
      <c r="B55" t="str">
        <f t="shared" si="0"/>
        <v xml:space="preserve"> 54636</v>
      </c>
      <c r="C55" t="str">
        <f t="shared" si="7"/>
        <v xml:space="preserve"> 32777</v>
      </c>
      <c r="D55" t="str">
        <f t="shared" si="8"/>
        <v>-5</v>
      </c>
      <c r="E55" t="str">
        <f t="shared" si="9"/>
        <v xml:space="preserve"> -3</v>
      </c>
      <c r="F55" s="5">
        <f t="shared" si="5"/>
        <v>206</v>
      </c>
      <c r="G55" s="5">
        <f t="shared" si="6"/>
        <v>119</v>
      </c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</row>
    <row r="56" spans="1:350" x14ac:dyDescent="0.25">
      <c r="A56" s="6" t="s">
        <v>86</v>
      </c>
      <c r="B56" t="str">
        <f t="shared" si="0"/>
        <v>-54224</v>
      </c>
      <c r="C56" t="str">
        <f t="shared" si="7"/>
        <v xml:space="preserve"> 11006</v>
      </c>
      <c r="D56" t="str">
        <f t="shared" si="8"/>
        <v xml:space="preserve"> 5</v>
      </c>
      <c r="E56" t="str">
        <f t="shared" si="9"/>
        <v xml:space="preserve"> -1</v>
      </c>
      <c r="F56" s="5">
        <f t="shared" si="5"/>
        <v>206</v>
      </c>
      <c r="G56" s="5">
        <f t="shared" si="6"/>
        <v>120</v>
      </c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</row>
    <row r="57" spans="1:350" x14ac:dyDescent="0.25">
      <c r="A57" s="6" t="s">
        <v>87</v>
      </c>
      <c r="B57" t="str">
        <f t="shared" si="0"/>
        <v>-10723</v>
      </c>
      <c r="C57" t="str">
        <f t="shared" si="7"/>
        <v>-54310</v>
      </c>
      <c r="D57" t="str">
        <f t="shared" si="8"/>
        <v xml:space="preserve"> 1</v>
      </c>
      <c r="E57" t="str">
        <f t="shared" si="9"/>
        <v xml:space="preserve">  5</v>
      </c>
      <c r="F57" s="5">
        <f t="shared" si="5"/>
        <v>163</v>
      </c>
      <c r="G57" s="5">
        <f t="shared" si="6"/>
        <v>120</v>
      </c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</row>
    <row r="58" spans="1:350" x14ac:dyDescent="0.25">
      <c r="A58" s="6" t="s">
        <v>88</v>
      </c>
      <c r="B58" t="str">
        <f t="shared" si="0"/>
        <v xml:space="preserve"> 32856</v>
      </c>
      <c r="C58" t="str">
        <f t="shared" si="7"/>
        <v xml:space="preserve"> 54547</v>
      </c>
      <c r="D58" t="str">
        <f t="shared" si="8"/>
        <v>-3</v>
      </c>
      <c r="E58" t="str">
        <f t="shared" si="9"/>
        <v xml:space="preserve"> -5</v>
      </c>
      <c r="F58" s="5">
        <f t="shared" si="5"/>
        <v>198</v>
      </c>
      <c r="G58" s="5">
        <f t="shared" si="6"/>
        <v>117</v>
      </c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</row>
    <row r="59" spans="1:350" x14ac:dyDescent="0.25">
      <c r="A59" s="6" t="s">
        <v>89</v>
      </c>
      <c r="B59" t="str">
        <f t="shared" si="0"/>
        <v xml:space="preserve"> 11052</v>
      </c>
      <c r="C59" t="str">
        <f t="shared" si="7"/>
        <v xml:space="preserve"> 11006</v>
      </c>
      <c r="D59" t="str">
        <f t="shared" si="8"/>
        <v>-1</v>
      </c>
      <c r="E59" t="str">
        <f t="shared" si="9"/>
        <v xml:space="preserve"> -1</v>
      </c>
      <c r="F59" s="5">
        <f t="shared" si="5"/>
        <v>166</v>
      </c>
      <c r="G59" s="5">
        <f t="shared" si="6"/>
        <v>120</v>
      </c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</row>
    <row r="60" spans="1:350" x14ac:dyDescent="0.25">
      <c r="A60" s="6" t="s">
        <v>90</v>
      </c>
      <c r="B60" t="str">
        <f t="shared" si="0"/>
        <v>-10674</v>
      </c>
      <c r="C60" t="str">
        <f t="shared" si="7"/>
        <v>-54319</v>
      </c>
      <c r="D60" t="str">
        <f t="shared" si="8"/>
        <v xml:space="preserve"> 1</v>
      </c>
      <c r="E60" t="str">
        <f t="shared" si="9"/>
        <v xml:space="preserve">  5</v>
      </c>
      <c r="F60" s="5">
        <f t="shared" si="5"/>
        <v>212</v>
      </c>
      <c r="G60" s="5">
        <f t="shared" si="6"/>
        <v>111</v>
      </c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</row>
    <row r="61" spans="1:350" x14ac:dyDescent="0.25">
      <c r="A61" s="6" t="s">
        <v>91</v>
      </c>
      <c r="B61" t="str">
        <f t="shared" si="0"/>
        <v xml:space="preserve"> 11071</v>
      </c>
      <c r="C61" t="str">
        <f t="shared" si="7"/>
        <v>-54317</v>
      </c>
      <c r="D61" t="str">
        <f t="shared" si="8"/>
        <v>-1</v>
      </c>
      <c r="E61" t="str">
        <f t="shared" si="9"/>
        <v xml:space="preserve">  5</v>
      </c>
      <c r="F61" s="5">
        <f t="shared" si="5"/>
        <v>185</v>
      </c>
      <c r="G61" s="5">
        <f t="shared" si="6"/>
        <v>113</v>
      </c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</row>
    <row r="62" spans="1:350" x14ac:dyDescent="0.25">
      <c r="A62" s="6" t="s">
        <v>92</v>
      </c>
      <c r="B62" t="str">
        <f t="shared" si="0"/>
        <v xml:space="preserve"> 11075</v>
      </c>
      <c r="C62" t="str">
        <f t="shared" si="7"/>
        <v xml:space="preserve"> 54541</v>
      </c>
      <c r="D62" t="str">
        <f t="shared" si="8"/>
        <v>-1</v>
      </c>
      <c r="E62" t="str">
        <f t="shared" si="9"/>
        <v xml:space="preserve"> -5</v>
      </c>
      <c r="F62" s="5">
        <f t="shared" si="5"/>
        <v>189</v>
      </c>
      <c r="G62" s="5">
        <f t="shared" si="6"/>
        <v>111</v>
      </c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</row>
    <row r="63" spans="1:350" x14ac:dyDescent="0.25">
      <c r="A63" s="6" t="s">
        <v>93</v>
      </c>
      <c r="B63" t="str">
        <f t="shared" si="0"/>
        <v>-54226</v>
      </c>
      <c r="C63" t="str">
        <f t="shared" si="7"/>
        <v xml:space="preserve"> 21888</v>
      </c>
      <c r="D63" t="str">
        <f t="shared" si="8"/>
        <v xml:space="preserve"> 5</v>
      </c>
      <c r="E63" t="str">
        <f t="shared" si="9"/>
        <v xml:space="preserve"> -2</v>
      </c>
      <c r="F63" s="5">
        <f t="shared" si="5"/>
        <v>204</v>
      </c>
      <c r="G63" s="5">
        <f t="shared" si="6"/>
        <v>116</v>
      </c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</row>
    <row r="64" spans="1:350" x14ac:dyDescent="0.25">
      <c r="A64" s="6" t="s">
        <v>94</v>
      </c>
      <c r="B64" t="str">
        <f t="shared" si="0"/>
        <v xml:space="preserve"> 21962</v>
      </c>
      <c r="C64" t="str">
        <f t="shared" si="7"/>
        <v xml:space="preserve"> 32774</v>
      </c>
      <c r="D64" t="str">
        <f t="shared" si="8"/>
        <v>-2</v>
      </c>
      <c r="E64" t="str">
        <f t="shared" si="9"/>
        <v xml:space="preserve"> -3</v>
      </c>
      <c r="F64" s="5">
        <f t="shared" si="5"/>
        <v>190</v>
      </c>
      <c r="G64" s="5">
        <f t="shared" si="6"/>
        <v>116</v>
      </c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</row>
    <row r="65" spans="1:350" x14ac:dyDescent="0.25">
      <c r="A65" s="6" t="s">
        <v>95</v>
      </c>
      <c r="B65" t="str">
        <f t="shared" si="0"/>
        <v>-54251</v>
      </c>
      <c r="C65" t="str">
        <f t="shared" si="7"/>
        <v xml:space="preserve"> 21883</v>
      </c>
      <c r="D65" t="str">
        <f t="shared" si="8"/>
        <v xml:space="preserve"> 5</v>
      </c>
      <c r="E65" t="str">
        <f t="shared" si="9"/>
        <v xml:space="preserve"> -2</v>
      </c>
      <c r="F65" s="5">
        <f t="shared" si="5"/>
        <v>179</v>
      </c>
      <c r="G65" s="5">
        <f t="shared" si="6"/>
        <v>111</v>
      </c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</row>
    <row r="66" spans="1:350" x14ac:dyDescent="0.25">
      <c r="A66" s="6" t="s">
        <v>96</v>
      </c>
      <c r="B66" t="str">
        <f t="shared" si="0"/>
        <v xml:space="preserve"> 54628</v>
      </c>
      <c r="C66" t="str">
        <f t="shared" si="7"/>
        <v>-32540</v>
      </c>
      <c r="D66" t="str">
        <f t="shared" si="8"/>
        <v>-5</v>
      </c>
      <c r="E66" t="str">
        <f t="shared" si="9"/>
        <v xml:space="preserve">  3</v>
      </c>
      <c r="F66" s="5">
        <f t="shared" si="5"/>
        <v>198</v>
      </c>
      <c r="G66" s="5">
        <f t="shared" si="6"/>
        <v>118</v>
      </c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</row>
    <row r="67" spans="1:350" x14ac:dyDescent="0.25">
      <c r="A67" s="6" t="s">
        <v>97</v>
      </c>
      <c r="B67" t="str">
        <f t="shared" ref="B67:B130" si="10">MID(A67,11,6)</f>
        <v xml:space="preserve"> 11087</v>
      </c>
      <c r="C67" t="str">
        <f t="shared" si="7"/>
        <v xml:space="preserve"> 32770</v>
      </c>
      <c r="D67" t="str">
        <f t="shared" si="8"/>
        <v>-1</v>
      </c>
      <c r="E67" t="str">
        <f t="shared" si="9"/>
        <v xml:space="preserve"> -3</v>
      </c>
      <c r="F67" s="5">
        <f t="shared" si="5"/>
        <v>201</v>
      </c>
      <c r="G67" s="5">
        <f t="shared" si="6"/>
        <v>112</v>
      </c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</row>
    <row r="68" spans="1:350" x14ac:dyDescent="0.25">
      <c r="A68" s="6" t="s">
        <v>98</v>
      </c>
      <c r="B68" t="str">
        <f t="shared" si="10"/>
        <v xml:space="preserve"> 54594</v>
      </c>
      <c r="C68" t="str">
        <f t="shared" si="7"/>
        <v xml:space="preserve"> 43659</v>
      </c>
      <c r="D68" t="str">
        <f t="shared" si="8"/>
        <v>-5</v>
      </c>
      <c r="E68" t="str">
        <f t="shared" si="9"/>
        <v xml:space="preserve"> -4</v>
      </c>
      <c r="F68" s="5">
        <f t="shared" si="5"/>
        <v>164</v>
      </c>
      <c r="G68" s="5">
        <f t="shared" si="6"/>
        <v>115</v>
      </c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</row>
    <row r="69" spans="1:350" x14ac:dyDescent="0.25">
      <c r="A69" s="6" t="s">
        <v>99</v>
      </c>
      <c r="B69" t="str">
        <f t="shared" si="10"/>
        <v xml:space="preserve"> 43748</v>
      </c>
      <c r="C69" t="str">
        <f t="shared" si="7"/>
        <v xml:space="preserve"> 32778</v>
      </c>
      <c r="D69" t="str">
        <f t="shared" si="8"/>
        <v>-4</v>
      </c>
      <c r="E69" t="str">
        <f t="shared" si="9"/>
        <v xml:space="preserve"> -3</v>
      </c>
      <c r="F69" s="5">
        <f t="shared" si="5"/>
        <v>204</v>
      </c>
      <c r="G69" s="5">
        <f t="shared" si="6"/>
        <v>120</v>
      </c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</row>
    <row r="70" spans="1:350" x14ac:dyDescent="0.25">
      <c r="A70" s="6" t="s">
        <v>100</v>
      </c>
      <c r="B70" t="str">
        <f t="shared" si="10"/>
        <v xml:space="preserve"> 32854</v>
      </c>
      <c r="C70" t="str">
        <f t="shared" si="7"/>
        <v xml:space="preserve"> 32778</v>
      </c>
      <c r="D70" t="str">
        <f t="shared" si="8"/>
        <v>-3</v>
      </c>
      <c r="E70" t="str">
        <f t="shared" si="9"/>
        <v xml:space="preserve"> -3</v>
      </c>
      <c r="F70" s="5">
        <f t="shared" si="5"/>
        <v>196</v>
      </c>
      <c r="G70" s="5">
        <f t="shared" si="6"/>
        <v>120</v>
      </c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</row>
    <row r="71" spans="1:350" x14ac:dyDescent="0.25">
      <c r="A71" s="6" t="s">
        <v>101</v>
      </c>
      <c r="B71" t="str">
        <f t="shared" si="10"/>
        <v xml:space="preserve"> 54639</v>
      </c>
      <c r="C71" t="str">
        <f t="shared" si="7"/>
        <v>-32542</v>
      </c>
      <c r="D71" t="str">
        <f t="shared" si="8"/>
        <v>-5</v>
      </c>
      <c r="E71" t="str">
        <f t="shared" si="9"/>
        <v xml:space="preserve">  3</v>
      </c>
      <c r="F71" s="5">
        <f t="shared" si="5"/>
        <v>209</v>
      </c>
      <c r="G71" s="5">
        <f t="shared" si="6"/>
        <v>116</v>
      </c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</row>
    <row r="72" spans="1:350" x14ac:dyDescent="0.25">
      <c r="A72" s="6" t="s">
        <v>102</v>
      </c>
      <c r="B72" t="str">
        <f t="shared" si="10"/>
        <v>-43367</v>
      </c>
      <c r="C72" t="str">
        <f t="shared" si="7"/>
        <v>-43425</v>
      </c>
      <c r="D72" t="str">
        <f t="shared" si="8"/>
        <v xml:space="preserve"> 4</v>
      </c>
      <c r="E72" t="str">
        <f t="shared" si="9"/>
        <v xml:space="preserve">  4</v>
      </c>
      <c r="F72" s="5">
        <f t="shared" si="5"/>
        <v>177</v>
      </c>
      <c r="G72" s="5">
        <f t="shared" si="6"/>
        <v>119</v>
      </c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</row>
    <row r="73" spans="1:350" x14ac:dyDescent="0.25">
      <c r="A73" s="6" t="s">
        <v>103</v>
      </c>
      <c r="B73" t="str">
        <f t="shared" si="10"/>
        <v xml:space="preserve"> 54651</v>
      </c>
      <c r="C73" t="str">
        <f t="shared" si="7"/>
        <v>-21660</v>
      </c>
      <c r="D73" t="str">
        <f t="shared" si="8"/>
        <v>-5</v>
      </c>
      <c r="E73" t="str">
        <f t="shared" si="9"/>
        <v xml:space="preserve">  2</v>
      </c>
      <c r="F73" s="5">
        <f t="shared" si="5"/>
        <v>221</v>
      </c>
      <c r="G73" s="5">
        <f t="shared" si="6"/>
        <v>112</v>
      </c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</row>
    <row r="74" spans="1:350" x14ac:dyDescent="0.25">
      <c r="A74" s="6" t="s">
        <v>104</v>
      </c>
      <c r="B74" t="str">
        <f t="shared" si="10"/>
        <v xml:space="preserve"> 11087</v>
      </c>
      <c r="C74" t="str">
        <f t="shared" si="7"/>
        <v xml:space="preserve"> 10999</v>
      </c>
      <c r="D74" t="str">
        <f t="shared" si="8"/>
        <v>-1</v>
      </c>
      <c r="E74" t="str">
        <f t="shared" si="9"/>
        <v xml:space="preserve"> -1</v>
      </c>
      <c r="F74" s="5">
        <f t="shared" si="5"/>
        <v>201</v>
      </c>
      <c r="G74" s="5">
        <f t="shared" si="6"/>
        <v>113</v>
      </c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</row>
    <row r="75" spans="1:350" x14ac:dyDescent="0.25">
      <c r="A75" s="6" t="s">
        <v>105</v>
      </c>
      <c r="B75" t="str">
        <f t="shared" si="10"/>
        <v>-43379</v>
      </c>
      <c r="C75" t="str">
        <f t="shared" si="7"/>
        <v xml:space="preserve"> 32778</v>
      </c>
      <c r="D75" t="str">
        <f t="shared" si="8"/>
        <v xml:space="preserve"> 4</v>
      </c>
      <c r="E75" t="str">
        <f t="shared" si="9"/>
        <v xml:space="preserve"> -3</v>
      </c>
      <c r="F75" s="5">
        <f t="shared" si="5"/>
        <v>165</v>
      </c>
      <c r="G75" s="5">
        <f t="shared" si="6"/>
        <v>120</v>
      </c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</row>
    <row r="76" spans="1:350" x14ac:dyDescent="0.25">
      <c r="A76" s="6" t="s">
        <v>106</v>
      </c>
      <c r="B76" t="str">
        <f t="shared" si="10"/>
        <v xml:space="preserve"> 43737</v>
      </c>
      <c r="C76" t="str">
        <f t="shared" si="7"/>
        <v>-32543</v>
      </c>
      <c r="D76" t="str">
        <f t="shared" si="8"/>
        <v>-4</v>
      </c>
      <c r="E76" t="str">
        <f t="shared" si="9"/>
        <v xml:space="preserve">  3</v>
      </c>
      <c r="F76" s="5">
        <f t="shared" si="5"/>
        <v>193</v>
      </c>
      <c r="G76" s="5">
        <f t="shared" si="6"/>
        <v>115</v>
      </c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</row>
    <row r="77" spans="1:350" x14ac:dyDescent="0.25">
      <c r="A77" s="6" t="s">
        <v>107</v>
      </c>
      <c r="B77" t="str">
        <f t="shared" si="10"/>
        <v>-43382</v>
      </c>
      <c r="C77" t="str">
        <f t="shared" si="7"/>
        <v xml:space="preserve"> 43655</v>
      </c>
      <c r="D77" t="str">
        <f t="shared" si="8"/>
        <v xml:space="preserve"> 4</v>
      </c>
      <c r="E77" t="str">
        <f t="shared" si="9"/>
        <v xml:space="preserve"> -4</v>
      </c>
      <c r="F77" s="5">
        <f t="shared" si="5"/>
        <v>162</v>
      </c>
      <c r="G77" s="5">
        <f t="shared" si="6"/>
        <v>111</v>
      </c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</row>
    <row r="78" spans="1:350" x14ac:dyDescent="0.25">
      <c r="A78" s="6" t="s">
        <v>108</v>
      </c>
      <c r="B78" t="str">
        <f t="shared" si="10"/>
        <v>-10684</v>
      </c>
      <c r="C78" t="str">
        <f t="shared" si="7"/>
        <v>-43433</v>
      </c>
      <c r="D78" t="str">
        <f t="shared" si="8"/>
        <v xml:space="preserve"> 1</v>
      </c>
      <c r="E78" t="str">
        <f t="shared" si="9"/>
        <v xml:space="preserve">  4</v>
      </c>
      <c r="F78" s="5">
        <f t="shared" si="5"/>
        <v>202</v>
      </c>
      <c r="G78" s="5">
        <f t="shared" si="6"/>
        <v>111</v>
      </c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</row>
    <row r="79" spans="1:350" x14ac:dyDescent="0.25">
      <c r="A79" s="6" t="s">
        <v>109</v>
      </c>
      <c r="B79" t="str">
        <f t="shared" si="10"/>
        <v>-54250</v>
      </c>
      <c r="C79" t="str">
        <f t="shared" si="7"/>
        <v xml:space="preserve"> 54550</v>
      </c>
      <c r="D79" t="str">
        <f t="shared" si="8"/>
        <v xml:space="preserve"> 5</v>
      </c>
      <c r="E79" t="str">
        <f t="shared" si="9"/>
        <v xml:space="preserve"> -5</v>
      </c>
      <c r="F79" s="5">
        <f t="shared" si="5"/>
        <v>180</v>
      </c>
      <c r="G79" s="5">
        <f t="shared" si="6"/>
        <v>120</v>
      </c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</row>
    <row r="80" spans="1:350" x14ac:dyDescent="0.25">
      <c r="A80" s="6" t="s">
        <v>110</v>
      </c>
      <c r="B80" t="str">
        <f t="shared" si="10"/>
        <v xml:space="preserve"> 11095</v>
      </c>
      <c r="C80" t="str">
        <f t="shared" si="7"/>
        <v>-21657</v>
      </c>
      <c r="D80" t="str">
        <f t="shared" si="8"/>
        <v>-1</v>
      </c>
      <c r="E80" t="str">
        <f t="shared" si="9"/>
        <v xml:space="preserve">  2</v>
      </c>
      <c r="F80" s="5">
        <f t="shared" si="5"/>
        <v>209</v>
      </c>
      <c r="G80" s="5">
        <f t="shared" si="6"/>
        <v>115</v>
      </c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</row>
    <row r="81" spans="1:350" x14ac:dyDescent="0.25">
      <c r="A81" s="6" t="s">
        <v>111</v>
      </c>
      <c r="B81" t="str">
        <f t="shared" si="10"/>
        <v xml:space="preserve"> 32836</v>
      </c>
      <c r="C81" t="str">
        <f t="shared" si="7"/>
        <v xml:space="preserve"> 10997</v>
      </c>
      <c r="D81" t="str">
        <f t="shared" si="8"/>
        <v>-3</v>
      </c>
      <c r="E81" t="str">
        <f t="shared" si="9"/>
        <v xml:space="preserve"> -1</v>
      </c>
      <c r="F81" s="5">
        <f t="shared" si="5"/>
        <v>178</v>
      </c>
      <c r="G81" s="5">
        <f t="shared" si="6"/>
        <v>111</v>
      </c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</row>
    <row r="82" spans="1:350" x14ac:dyDescent="0.25">
      <c r="A82" s="6" t="s">
        <v>112</v>
      </c>
      <c r="B82" t="str">
        <f t="shared" si="10"/>
        <v>-54209</v>
      </c>
      <c r="C82" t="str">
        <f t="shared" si="7"/>
        <v>-32540</v>
      </c>
      <c r="D82" t="str">
        <f t="shared" si="8"/>
        <v xml:space="preserve"> 5</v>
      </c>
      <c r="E82" t="str">
        <f t="shared" si="9"/>
        <v xml:space="preserve">  3</v>
      </c>
      <c r="F82" s="5">
        <f t="shared" si="5"/>
        <v>221</v>
      </c>
      <c r="G82" s="5">
        <f t="shared" si="6"/>
        <v>118</v>
      </c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</row>
    <row r="83" spans="1:350" x14ac:dyDescent="0.25">
      <c r="A83" s="6" t="s">
        <v>113</v>
      </c>
      <c r="B83" t="str">
        <f t="shared" si="10"/>
        <v xml:space="preserve"> 11050</v>
      </c>
      <c r="C83" t="str">
        <f t="shared" si="7"/>
        <v xml:space="preserve"> 21892</v>
      </c>
      <c r="D83" t="str">
        <f t="shared" si="8"/>
        <v>-1</v>
      </c>
      <c r="E83" t="str">
        <f t="shared" si="9"/>
        <v xml:space="preserve"> -2</v>
      </c>
      <c r="F83" s="5">
        <f t="shared" si="5"/>
        <v>164</v>
      </c>
      <c r="G83" s="5">
        <f t="shared" si="6"/>
        <v>120</v>
      </c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</row>
    <row r="84" spans="1:350" x14ac:dyDescent="0.25">
      <c r="A84" s="6" t="s">
        <v>114</v>
      </c>
      <c r="B84" t="str">
        <f t="shared" si="10"/>
        <v>-21587</v>
      </c>
      <c r="C84" t="str">
        <f t="shared" si="7"/>
        <v xml:space="preserve"> 10999</v>
      </c>
      <c r="D84" t="str">
        <f t="shared" si="8"/>
        <v xml:space="preserve"> 2</v>
      </c>
      <c r="E84" t="str">
        <f t="shared" si="9"/>
        <v xml:space="preserve"> -1</v>
      </c>
      <c r="F84" s="5">
        <f t="shared" si="5"/>
        <v>185</v>
      </c>
      <c r="G84" s="5">
        <f t="shared" si="6"/>
        <v>113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</row>
    <row r="85" spans="1:350" x14ac:dyDescent="0.25">
      <c r="A85" s="6" t="s">
        <v>115</v>
      </c>
      <c r="B85" t="str">
        <f t="shared" si="10"/>
        <v xml:space="preserve"> 43725</v>
      </c>
      <c r="C85" t="str">
        <f t="shared" si="7"/>
        <v xml:space="preserve"> 54550</v>
      </c>
      <c r="D85" t="str">
        <f t="shared" si="8"/>
        <v>-4</v>
      </c>
      <c r="E85" t="str">
        <f t="shared" si="9"/>
        <v xml:space="preserve"> -5</v>
      </c>
      <c r="F85" s="5">
        <f t="shared" si="5"/>
        <v>181</v>
      </c>
      <c r="G85" s="5">
        <f t="shared" si="6"/>
        <v>120</v>
      </c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</row>
    <row r="86" spans="1:350" x14ac:dyDescent="0.25">
      <c r="A86" s="6" t="s">
        <v>116</v>
      </c>
      <c r="B86" t="str">
        <f t="shared" si="10"/>
        <v>-54221</v>
      </c>
      <c r="C86" t="str">
        <f t="shared" si="7"/>
        <v xml:space="preserve"> 32771</v>
      </c>
      <c r="D86" t="str">
        <f t="shared" si="8"/>
        <v xml:space="preserve"> 5</v>
      </c>
      <c r="E86" t="str">
        <f t="shared" si="9"/>
        <v xml:space="preserve"> -3</v>
      </c>
      <c r="F86" s="5">
        <f t="shared" si="5"/>
        <v>209</v>
      </c>
      <c r="G86" s="5">
        <f t="shared" si="6"/>
        <v>113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</row>
    <row r="87" spans="1:350" x14ac:dyDescent="0.25">
      <c r="A87" s="6" t="s">
        <v>117</v>
      </c>
      <c r="B87" t="str">
        <f t="shared" si="10"/>
        <v xml:space="preserve"> 11087</v>
      </c>
      <c r="C87" t="str">
        <f t="shared" si="7"/>
        <v xml:space="preserve"> 54546</v>
      </c>
      <c r="D87" t="str">
        <f t="shared" si="8"/>
        <v>-1</v>
      </c>
      <c r="E87" t="str">
        <f t="shared" si="9"/>
        <v xml:space="preserve"> -5</v>
      </c>
      <c r="F87" s="5">
        <f t="shared" si="5"/>
        <v>201</v>
      </c>
      <c r="G87" s="5">
        <f t="shared" si="6"/>
        <v>116</v>
      </c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</row>
    <row r="88" spans="1:350" x14ac:dyDescent="0.25">
      <c r="A88" s="6" t="s">
        <v>118</v>
      </c>
      <c r="B88" t="str">
        <f t="shared" si="10"/>
        <v xml:space="preserve"> 11088</v>
      </c>
      <c r="C88" t="str">
        <f t="shared" si="7"/>
        <v>-32538</v>
      </c>
      <c r="D88" t="str">
        <f t="shared" si="8"/>
        <v>-1</v>
      </c>
      <c r="E88" t="str">
        <f t="shared" si="9"/>
        <v xml:space="preserve">  3</v>
      </c>
      <c r="F88" s="5">
        <f t="shared" si="5"/>
        <v>202</v>
      </c>
      <c r="G88" s="5">
        <f t="shared" si="6"/>
        <v>120</v>
      </c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</row>
    <row r="89" spans="1:350" x14ac:dyDescent="0.25">
      <c r="A89" s="6" t="s">
        <v>119</v>
      </c>
      <c r="B89" t="str">
        <f t="shared" si="10"/>
        <v xml:space="preserve"> 21986</v>
      </c>
      <c r="C89" t="str">
        <f t="shared" si="7"/>
        <v>-10774</v>
      </c>
      <c r="D89" t="str">
        <f t="shared" si="8"/>
        <v>-2</v>
      </c>
      <c r="E89" t="str">
        <f t="shared" si="9"/>
        <v xml:space="preserve">  1</v>
      </c>
      <c r="F89" s="5">
        <f t="shared" si="5"/>
        <v>214</v>
      </c>
      <c r="G89" s="5">
        <f t="shared" si="6"/>
        <v>112</v>
      </c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</row>
    <row r="90" spans="1:350" x14ac:dyDescent="0.25">
      <c r="A90" s="6" t="s">
        <v>120</v>
      </c>
      <c r="B90" t="str">
        <f t="shared" si="10"/>
        <v xml:space="preserve"> 11071</v>
      </c>
      <c r="C90" t="str">
        <f t="shared" si="7"/>
        <v xml:space="preserve"> 10998</v>
      </c>
      <c r="D90" t="str">
        <f t="shared" si="8"/>
        <v>-1</v>
      </c>
      <c r="E90" t="str">
        <f t="shared" si="9"/>
        <v xml:space="preserve"> -1</v>
      </c>
      <c r="F90" s="5">
        <f t="shared" si="5"/>
        <v>185</v>
      </c>
      <c r="G90" s="5">
        <f t="shared" si="6"/>
        <v>112</v>
      </c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</row>
    <row r="91" spans="1:350" x14ac:dyDescent="0.25">
      <c r="A91" s="6" t="s">
        <v>121</v>
      </c>
      <c r="B91" t="str">
        <f t="shared" si="10"/>
        <v xml:space="preserve"> 54631</v>
      </c>
      <c r="C91" t="str">
        <f t="shared" si="7"/>
        <v xml:space="preserve"> 43661</v>
      </c>
      <c r="D91" t="str">
        <f t="shared" si="8"/>
        <v>-5</v>
      </c>
      <c r="E91" t="str">
        <f t="shared" si="9"/>
        <v xml:space="preserve"> -4</v>
      </c>
      <c r="F91" s="5">
        <f t="shared" si="5"/>
        <v>201</v>
      </c>
      <c r="G91" s="5">
        <f t="shared" si="6"/>
        <v>117</v>
      </c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</row>
    <row r="92" spans="1:350" x14ac:dyDescent="0.25">
      <c r="A92" s="6" t="s">
        <v>122</v>
      </c>
      <c r="B92" t="str">
        <f t="shared" si="10"/>
        <v>-32462</v>
      </c>
      <c r="C92" t="str">
        <f t="shared" si="7"/>
        <v xml:space="preserve"> 21892</v>
      </c>
      <c r="D92" t="str">
        <f t="shared" si="8"/>
        <v xml:space="preserve"> 3</v>
      </c>
      <c r="E92" t="str">
        <f t="shared" si="9"/>
        <v xml:space="preserve"> -2</v>
      </c>
      <c r="F92" s="5">
        <f t="shared" si="5"/>
        <v>196</v>
      </c>
      <c r="G92" s="5">
        <f t="shared" si="6"/>
        <v>120</v>
      </c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</row>
    <row r="93" spans="1:350" x14ac:dyDescent="0.25">
      <c r="A93" s="6" t="s">
        <v>123</v>
      </c>
      <c r="B93" t="str">
        <f t="shared" si="10"/>
        <v>-32464</v>
      </c>
      <c r="C93" t="str">
        <f t="shared" si="7"/>
        <v>-43433</v>
      </c>
      <c r="D93" t="str">
        <f t="shared" si="8"/>
        <v xml:space="preserve"> 3</v>
      </c>
      <c r="E93" t="str">
        <f t="shared" si="9"/>
        <v xml:space="preserve">  4</v>
      </c>
      <c r="F93" s="5">
        <f t="shared" si="5"/>
        <v>194</v>
      </c>
      <c r="G93" s="5">
        <f t="shared" si="6"/>
        <v>111</v>
      </c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</row>
    <row r="94" spans="1:350" x14ac:dyDescent="0.25">
      <c r="A94" s="6" t="s">
        <v>124</v>
      </c>
      <c r="B94" t="str">
        <f t="shared" si="10"/>
        <v>-32485</v>
      </c>
      <c r="C94" t="str">
        <f t="shared" si="7"/>
        <v>-10772</v>
      </c>
      <c r="D94" t="str">
        <f t="shared" si="8"/>
        <v xml:space="preserve"> 3</v>
      </c>
      <c r="E94" t="str">
        <f t="shared" si="9"/>
        <v xml:space="preserve">  1</v>
      </c>
      <c r="F94" s="5">
        <f t="shared" si="5"/>
        <v>173</v>
      </c>
      <c r="G94" s="5">
        <f t="shared" si="6"/>
        <v>114</v>
      </c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</row>
    <row r="95" spans="1:350" x14ac:dyDescent="0.25">
      <c r="A95" s="6" t="s">
        <v>125</v>
      </c>
      <c r="B95" t="str">
        <f t="shared" si="10"/>
        <v xml:space="preserve"> 43707</v>
      </c>
      <c r="C95" t="str">
        <f t="shared" si="7"/>
        <v xml:space="preserve"> 21888</v>
      </c>
      <c r="D95" t="str">
        <f t="shared" si="8"/>
        <v>-4</v>
      </c>
      <c r="E95" t="str">
        <f t="shared" si="9"/>
        <v xml:space="preserve"> -2</v>
      </c>
      <c r="F95" s="5">
        <f t="shared" si="5"/>
        <v>163</v>
      </c>
      <c r="G95" s="5">
        <f t="shared" si="6"/>
        <v>116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</row>
    <row r="96" spans="1:350" x14ac:dyDescent="0.25">
      <c r="A96" s="6" t="s">
        <v>126</v>
      </c>
      <c r="B96" t="str">
        <f t="shared" si="10"/>
        <v xml:space="preserve"> 54602</v>
      </c>
      <c r="C96" t="str">
        <f t="shared" si="7"/>
        <v>-32538</v>
      </c>
      <c r="D96" t="str">
        <f t="shared" si="8"/>
        <v>-5</v>
      </c>
      <c r="E96" t="str">
        <f t="shared" si="9"/>
        <v xml:space="preserve">  3</v>
      </c>
      <c r="F96" s="5">
        <f t="shared" si="5"/>
        <v>172</v>
      </c>
      <c r="G96" s="5">
        <f t="shared" si="6"/>
        <v>120</v>
      </c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</row>
    <row r="97" spans="1:350" x14ac:dyDescent="0.25">
      <c r="A97" s="6" t="s">
        <v>127</v>
      </c>
      <c r="B97" t="str">
        <f t="shared" si="10"/>
        <v>-43335</v>
      </c>
      <c r="C97" t="str">
        <f t="shared" si="7"/>
        <v>-32546</v>
      </c>
      <c r="D97" t="str">
        <f t="shared" si="8"/>
        <v xml:space="preserve"> 4</v>
      </c>
      <c r="E97" t="str">
        <f t="shared" si="9"/>
        <v xml:space="preserve">  3</v>
      </c>
      <c r="F97" s="5">
        <f t="shared" ref="F97:F160" si="11">B97+(D97*$I$1)</f>
        <v>209</v>
      </c>
      <c r="G97" s="5">
        <f t="shared" ref="G97:G160" si="12">C97+(E97*$I$1)</f>
        <v>112</v>
      </c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</row>
    <row r="98" spans="1:350" x14ac:dyDescent="0.25">
      <c r="A98" s="6" t="s">
        <v>128</v>
      </c>
      <c r="B98" t="str">
        <f t="shared" si="10"/>
        <v xml:space="preserve"> 54639</v>
      </c>
      <c r="C98" t="str">
        <f t="shared" ref="C98:C161" si="13">MID(A98,19,6)</f>
        <v>-10769</v>
      </c>
      <c r="D98" t="str">
        <f t="shared" ref="D98:D161" si="14">MID(A98,37,2)</f>
        <v>-5</v>
      </c>
      <c r="E98" t="str">
        <f t="shared" ref="E98:E161" si="15">MID(A98,40,3)</f>
        <v xml:space="preserve">  1</v>
      </c>
      <c r="F98" s="5">
        <f t="shared" si="11"/>
        <v>209</v>
      </c>
      <c r="G98" s="5">
        <f t="shared" si="12"/>
        <v>117</v>
      </c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</row>
    <row r="99" spans="1:350" x14ac:dyDescent="0.25">
      <c r="A99" s="6" t="s">
        <v>129</v>
      </c>
      <c r="B99" t="str">
        <f t="shared" si="10"/>
        <v>-21551</v>
      </c>
      <c r="C99" t="str">
        <f t="shared" si="13"/>
        <v>-21656</v>
      </c>
      <c r="D99" t="str">
        <f t="shared" si="14"/>
        <v xml:space="preserve"> 2</v>
      </c>
      <c r="E99" t="str">
        <f t="shared" si="15"/>
        <v xml:space="preserve">  2</v>
      </c>
      <c r="F99" s="5">
        <f t="shared" si="11"/>
        <v>221</v>
      </c>
      <c r="G99" s="5">
        <f t="shared" si="12"/>
        <v>116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</row>
    <row r="100" spans="1:350" x14ac:dyDescent="0.25">
      <c r="A100" s="6" t="s">
        <v>130</v>
      </c>
      <c r="B100" t="str">
        <f t="shared" si="10"/>
        <v>-43323</v>
      </c>
      <c r="C100" t="str">
        <f t="shared" si="13"/>
        <v>-21658</v>
      </c>
      <c r="D100" t="str">
        <f t="shared" si="14"/>
        <v xml:space="preserve"> 4</v>
      </c>
      <c r="E100" t="str">
        <f t="shared" si="15"/>
        <v xml:space="preserve">  2</v>
      </c>
      <c r="F100" s="5">
        <f t="shared" si="11"/>
        <v>221</v>
      </c>
      <c r="G100" s="5">
        <f t="shared" si="12"/>
        <v>114</v>
      </c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</row>
    <row r="101" spans="1:350" x14ac:dyDescent="0.25">
      <c r="A101" s="6" t="s">
        <v>131</v>
      </c>
      <c r="B101" t="str">
        <f t="shared" si="10"/>
        <v xml:space="preserve"> 43718</v>
      </c>
      <c r="C101" t="str">
        <f t="shared" si="13"/>
        <v xml:space="preserve"> 32770</v>
      </c>
      <c r="D101" t="str">
        <f t="shared" si="14"/>
        <v>-4</v>
      </c>
      <c r="E101" t="str">
        <f t="shared" si="15"/>
        <v xml:space="preserve"> -3</v>
      </c>
      <c r="F101" s="5">
        <f t="shared" si="11"/>
        <v>174</v>
      </c>
      <c r="G101" s="5">
        <f t="shared" si="12"/>
        <v>112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</row>
    <row r="102" spans="1:350" x14ac:dyDescent="0.25">
      <c r="A102" s="6" t="s">
        <v>132</v>
      </c>
      <c r="B102" t="str">
        <f t="shared" si="10"/>
        <v>-10709</v>
      </c>
      <c r="C102" t="str">
        <f t="shared" si="13"/>
        <v xml:space="preserve"> 43662</v>
      </c>
      <c r="D102" t="str">
        <f t="shared" si="14"/>
        <v xml:space="preserve"> 1</v>
      </c>
      <c r="E102" t="str">
        <f t="shared" si="15"/>
        <v xml:space="preserve"> -4</v>
      </c>
      <c r="F102" s="5">
        <f t="shared" si="11"/>
        <v>177</v>
      </c>
      <c r="G102" s="5">
        <f t="shared" si="12"/>
        <v>118</v>
      </c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</row>
    <row r="103" spans="1:350" x14ac:dyDescent="0.25">
      <c r="A103" s="6" t="s">
        <v>133</v>
      </c>
      <c r="B103" t="str">
        <f t="shared" si="10"/>
        <v xml:space="preserve"> 43749</v>
      </c>
      <c r="C103" t="str">
        <f t="shared" si="13"/>
        <v xml:space="preserve"> 10997</v>
      </c>
      <c r="D103" t="str">
        <f t="shared" si="14"/>
        <v>-4</v>
      </c>
      <c r="E103" t="str">
        <f t="shared" si="15"/>
        <v xml:space="preserve"> -1</v>
      </c>
      <c r="F103" s="5">
        <f t="shared" si="11"/>
        <v>205</v>
      </c>
      <c r="G103" s="5">
        <f t="shared" si="12"/>
        <v>111</v>
      </c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</row>
    <row r="104" spans="1:350" x14ac:dyDescent="0.25">
      <c r="A104" s="6" t="s">
        <v>134</v>
      </c>
      <c r="B104" t="str">
        <f t="shared" si="10"/>
        <v xml:space="preserve"> 32859</v>
      </c>
      <c r="C104" t="str">
        <f t="shared" si="13"/>
        <v xml:space="preserve"> 11002</v>
      </c>
      <c r="D104" t="str">
        <f t="shared" si="14"/>
        <v>-3</v>
      </c>
      <c r="E104" t="str">
        <f t="shared" si="15"/>
        <v xml:space="preserve"> -1</v>
      </c>
      <c r="F104" s="5">
        <f t="shared" si="11"/>
        <v>201</v>
      </c>
      <c r="G104" s="5">
        <f t="shared" si="12"/>
        <v>116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</row>
    <row r="105" spans="1:350" x14ac:dyDescent="0.25">
      <c r="A105" s="6" t="s">
        <v>135</v>
      </c>
      <c r="B105" t="str">
        <f t="shared" si="10"/>
        <v xml:space="preserve"> 32839</v>
      </c>
      <c r="C105" t="str">
        <f t="shared" si="13"/>
        <v>-43433</v>
      </c>
      <c r="D105" t="str">
        <f t="shared" si="14"/>
        <v>-3</v>
      </c>
      <c r="E105" t="str">
        <f t="shared" si="15"/>
        <v xml:space="preserve">  4</v>
      </c>
      <c r="F105" s="5">
        <f t="shared" si="11"/>
        <v>181</v>
      </c>
      <c r="G105" s="5">
        <f t="shared" si="12"/>
        <v>111</v>
      </c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</row>
    <row r="106" spans="1:350" x14ac:dyDescent="0.25">
      <c r="A106" s="6" t="s">
        <v>136</v>
      </c>
      <c r="B106" t="str">
        <f t="shared" si="10"/>
        <v xml:space="preserve"> 21975</v>
      </c>
      <c r="C106" t="str">
        <f t="shared" si="13"/>
        <v>-10775</v>
      </c>
      <c r="D106" t="str">
        <f t="shared" si="14"/>
        <v>-2</v>
      </c>
      <c r="E106" t="str">
        <f t="shared" si="15"/>
        <v xml:space="preserve">  1</v>
      </c>
      <c r="F106" s="5">
        <f t="shared" si="11"/>
        <v>203</v>
      </c>
      <c r="G106" s="5">
        <f t="shared" si="12"/>
        <v>111</v>
      </c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</row>
    <row r="107" spans="1:350" x14ac:dyDescent="0.25">
      <c r="A107" s="6" t="s">
        <v>137</v>
      </c>
      <c r="B107" t="str">
        <f t="shared" si="10"/>
        <v xml:space="preserve"> 11088</v>
      </c>
      <c r="C107" t="str">
        <f t="shared" si="13"/>
        <v xml:space="preserve"> 11006</v>
      </c>
      <c r="D107" t="str">
        <f t="shared" si="14"/>
        <v>-1</v>
      </c>
      <c r="E107" t="str">
        <f t="shared" si="15"/>
        <v xml:space="preserve"> -1</v>
      </c>
      <c r="F107" s="5">
        <f t="shared" si="11"/>
        <v>202</v>
      </c>
      <c r="G107" s="5">
        <f t="shared" si="12"/>
        <v>120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</row>
    <row r="108" spans="1:350" x14ac:dyDescent="0.25">
      <c r="A108" s="6" t="s">
        <v>138</v>
      </c>
      <c r="B108" t="str">
        <f t="shared" si="10"/>
        <v>-10716</v>
      </c>
      <c r="C108" t="str">
        <f t="shared" si="13"/>
        <v xml:space="preserve"> 21892</v>
      </c>
      <c r="D108" t="str">
        <f t="shared" si="14"/>
        <v xml:space="preserve"> 1</v>
      </c>
      <c r="E108" t="str">
        <f t="shared" si="15"/>
        <v xml:space="preserve"> -2</v>
      </c>
      <c r="F108" s="5">
        <f t="shared" si="11"/>
        <v>170</v>
      </c>
      <c r="G108" s="5">
        <f t="shared" si="12"/>
        <v>120</v>
      </c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</row>
    <row r="109" spans="1:350" x14ac:dyDescent="0.25">
      <c r="A109" s="6" t="s">
        <v>139</v>
      </c>
      <c r="B109" t="str">
        <f t="shared" si="10"/>
        <v>-21560</v>
      </c>
      <c r="C109" t="str">
        <f t="shared" si="13"/>
        <v>-32538</v>
      </c>
      <c r="D109" t="str">
        <f t="shared" si="14"/>
        <v xml:space="preserve"> 2</v>
      </c>
      <c r="E109" t="str">
        <f t="shared" si="15"/>
        <v xml:space="preserve">  3</v>
      </c>
      <c r="F109" s="5">
        <f t="shared" si="11"/>
        <v>212</v>
      </c>
      <c r="G109" s="5">
        <f t="shared" si="12"/>
        <v>120</v>
      </c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</row>
    <row r="110" spans="1:350" x14ac:dyDescent="0.25">
      <c r="A110" s="6" t="s">
        <v>140</v>
      </c>
      <c r="B110" t="str">
        <f t="shared" si="10"/>
        <v>-21591</v>
      </c>
      <c r="C110" t="str">
        <f t="shared" si="13"/>
        <v xml:space="preserve"> 54541</v>
      </c>
      <c r="D110" t="str">
        <f t="shared" si="14"/>
        <v xml:space="preserve"> 2</v>
      </c>
      <c r="E110" t="str">
        <f t="shared" si="15"/>
        <v xml:space="preserve"> -5</v>
      </c>
      <c r="F110" s="5">
        <f t="shared" si="11"/>
        <v>181</v>
      </c>
      <c r="G110" s="5">
        <f t="shared" si="12"/>
        <v>111</v>
      </c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</row>
    <row r="111" spans="1:350" x14ac:dyDescent="0.25">
      <c r="A111" s="6" t="s">
        <v>141</v>
      </c>
      <c r="B111" t="str">
        <f t="shared" si="10"/>
        <v xml:space="preserve"> 21968</v>
      </c>
      <c r="C111" t="str">
        <f t="shared" si="13"/>
        <v>-21661</v>
      </c>
      <c r="D111" t="str">
        <f t="shared" si="14"/>
        <v>-2</v>
      </c>
      <c r="E111" t="str">
        <f t="shared" si="15"/>
        <v xml:space="preserve">  2</v>
      </c>
      <c r="F111" s="5">
        <f t="shared" si="11"/>
        <v>196</v>
      </c>
      <c r="G111" s="5">
        <f t="shared" si="12"/>
        <v>111</v>
      </c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4"/>
      <c r="FF111" s="4"/>
      <c r="FG111" s="4"/>
      <c r="FH111" s="4"/>
      <c r="FI111" s="4"/>
      <c r="FJ111" s="4"/>
      <c r="FK111" s="5"/>
      <c r="FL111" s="5"/>
      <c r="FM111" s="4"/>
      <c r="FN111" s="4"/>
      <c r="FO111" s="4"/>
      <c r="FP111" s="4"/>
      <c r="FQ111" s="4"/>
      <c r="FR111" s="4"/>
      <c r="FS111" s="5"/>
      <c r="FT111" s="5"/>
      <c r="FU111" s="5"/>
      <c r="FV111" s="4"/>
      <c r="FW111" s="4"/>
      <c r="FX111" s="4"/>
      <c r="FY111" s="4"/>
      <c r="FZ111" s="5"/>
      <c r="GA111" s="5"/>
      <c r="GB111" s="5"/>
      <c r="GC111" s="4"/>
      <c r="GD111" s="4"/>
      <c r="GE111" s="4"/>
      <c r="GF111" s="4"/>
      <c r="GG111" s="4"/>
      <c r="GH111" s="5"/>
      <c r="GI111" s="5"/>
      <c r="GJ111" s="5"/>
      <c r="GK111" s="5"/>
      <c r="GL111" s="4"/>
      <c r="GM111" s="4"/>
      <c r="GN111" s="4"/>
      <c r="GO111" s="4"/>
      <c r="GP111" s="5"/>
      <c r="GQ111" s="5"/>
      <c r="GR111" s="5"/>
      <c r="GS111" s="5"/>
      <c r="GT111" s="4"/>
      <c r="GU111" s="4"/>
      <c r="GV111" s="4"/>
      <c r="GW111" s="4"/>
      <c r="GX111" s="5"/>
      <c r="GY111" s="5"/>
      <c r="GZ111" s="5"/>
      <c r="HA111" s="5"/>
      <c r="HB111" s="4"/>
      <c r="HC111" s="4"/>
      <c r="HD111" s="4"/>
      <c r="HE111" s="4"/>
      <c r="HF111" s="5"/>
      <c r="HG111" s="5"/>
      <c r="HH111" s="5"/>
      <c r="HI111" s="5"/>
      <c r="HJ111" s="5"/>
      <c r="HK111" s="5"/>
      <c r="HL111" s="4"/>
      <c r="HM111" s="4"/>
      <c r="HN111" s="4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</row>
    <row r="112" spans="1:350" x14ac:dyDescent="0.25">
      <c r="A112" s="6" t="s">
        <v>142</v>
      </c>
      <c r="B112" t="str">
        <f t="shared" si="10"/>
        <v>-21579</v>
      </c>
      <c r="C112" t="str">
        <f t="shared" si="13"/>
        <v>-32545</v>
      </c>
      <c r="D112" t="str">
        <f t="shared" si="14"/>
        <v xml:space="preserve"> 2</v>
      </c>
      <c r="E112" t="str">
        <f t="shared" si="15"/>
        <v xml:space="preserve">  3</v>
      </c>
      <c r="F112" s="5">
        <f t="shared" si="11"/>
        <v>193</v>
      </c>
      <c r="G112" s="5">
        <f t="shared" si="12"/>
        <v>113</v>
      </c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4"/>
      <c r="FK112" s="5"/>
      <c r="FL112" s="5"/>
      <c r="FM112" s="5"/>
      <c r="FN112" s="5"/>
      <c r="FO112" s="5"/>
      <c r="FP112" s="5"/>
      <c r="FQ112" s="5"/>
      <c r="FR112" s="4"/>
      <c r="FS112" s="5"/>
      <c r="FT112" s="5"/>
      <c r="FU112" s="4"/>
      <c r="FV112" s="5"/>
      <c r="FW112" s="5"/>
      <c r="FX112" s="5"/>
      <c r="FY112" s="5"/>
      <c r="FZ112" s="4"/>
      <c r="GA112" s="5"/>
      <c r="GB112" s="5"/>
      <c r="GC112" s="4"/>
      <c r="GD112" s="5"/>
      <c r="GE112" s="5"/>
      <c r="GF112" s="5"/>
      <c r="GG112" s="5"/>
      <c r="GH112" s="4"/>
      <c r="GI112" s="5"/>
      <c r="GJ112" s="5"/>
      <c r="GK112" s="4"/>
      <c r="GL112" s="5"/>
      <c r="GM112" s="5"/>
      <c r="GN112" s="5"/>
      <c r="GO112" s="5"/>
      <c r="GP112" s="4"/>
      <c r="GQ112" s="5"/>
      <c r="GR112" s="5"/>
      <c r="GS112" s="4"/>
      <c r="GT112" s="5"/>
      <c r="GU112" s="5"/>
      <c r="GV112" s="5"/>
      <c r="GW112" s="5"/>
      <c r="GX112" s="4"/>
      <c r="GY112" s="5"/>
      <c r="GZ112" s="5"/>
      <c r="HA112" s="4"/>
      <c r="HB112" s="5"/>
      <c r="HC112" s="5"/>
      <c r="HD112" s="5"/>
      <c r="HE112" s="5"/>
      <c r="HF112" s="4"/>
      <c r="HG112" s="5"/>
      <c r="HH112" s="5"/>
      <c r="HI112" s="5"/>
      <c r="HJ112" s="5"/>
      <c r="HK112" s="5"/>
      <c r="HL112" s="5"/>
      <c r="HM112" s="4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</row>
    <row r="113" spans="1:350" x14ac:dyDescent="0.25">
      <c r="A113" s="6" t="s">
        <v>143</v>
      </c>
      <c r="B113" t="str">
        <f t="shared" si="10"/>
        <v>-10721</v>
      </c>
      <c r="C113" t="str">
        <f t="shared" si="13"/>
        <v>-32547</v>
      </c>
      <c r="D113" t="str">
        <f t="shared" si="14"/>
        <v xml:space="preserve"> 1</v>
      </c>
      <c r="E113" t="str">
        <f t="shared" si="15"/>
        <v xml:space="preserve">  3</v>
      </c>
      <c r="F113" s="5">
        <f t="shared" si="11"/>
        <v>165</v>
      </c>
      <c r="G113" s="5">
        <f t="shared" si="12"/>
        <v>111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4"/>
      <c r="FK113" s="5"/>
      <c r="FL113" s="5"/>
      <c r="FM113" s="5"/>
      <c r="FN113" s="5"/>
      <c r="FO113" s="5"/>
      <c r="FP113" s="5"/>
      <c r="FQ113" s="5"/>
      <c r="FR113" s="4"/>
      <c r="FS113" s="5"/>
      <c r="FT113" s="5"/>
      <c r="FU113" s="4"/>
      <c r="FV113" s="5"/>
      <c r="FW113" s="5"/>
      <c r="FX113" s="5"/>
      <c r="FY113" s="5"/>
      <c r="FZ113" s="5"/>
      <c r="GA113" s="5"/>
      <c r="GB113" s="5"/>
      <c r="GC113" s="4"/>
      <c r="GD113" s="5"/>
      <c r="GE113" s="5"/>
      <c r="GF113" s="5"/>
      <c r="GG113" s="5"/>
      <c r="GH113" s="4"/>
      <c r="GI113" s="5"/>
      <c r="GJ113" s="5"/>
      <c r="GK113" s="4"/>
      <c r="GL113" s="5"/>
      <c r="GM113" s="5"/>
      <c r="GN113" s="5"/>
      <c r="GO113" s="5"/>
      <c r="GP113" s="5"/>
      <c r="GQ113" s="5"/>
      <c r="GR113" s="5"/>
      <c r="GS113" s="4"/>
      <c r="GT113" s="5"/>
      <c r="GU113" s="5"/>
      <c r="GV113" s="5"/>
      <c r="GW113" s="5"/>
      <c r="GX113" s="5"/>
      <c r="GY113" s="5"/>
      <c r="GZ113" s="5"/>
      <c r="HA113" s="4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4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</row>
    <row r="114" spans="1:350" x14ac:dyDescent="0.25">
      <c r="A114" s="6" t="s">
        <v>144</v>
      </c>
      <c r="B114" t="str">
        <f t="shared" si="10"/>
        <v>-32468</v>
      </c>
      <c r="C114" t="str">
        <f t="shared" si="13"/>
        <v>-43430</v>
      </c>
      <c r="D114" t="str">
        <f t="shared" si="14"/>
        <v xml:space="preserve"> 3</v>
      </c>
      <c r="E114" t="str">
        <f t="shared" si="15"/>
        <v xml:space="preserve">  4</v>
      </c>
      <c r="F114" s="5">
        <f t="shared" si="11"/>
        <v>190</v>
      </c>
      <c r="G114" s="5">
        <f t="shared" si="12"/>
        <v>114</v>
      </c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4"/>
      <c r="FJ114" s="5"/>
      <c r="FK114" s="5"/>
      <c r="FL114" s="5"/>
      <c r="FM114" s="5"/>
      <c r="FN114" s="5"/>
      <c r="FO114" s="5"/>
      <c r="FP114" s="5"/>
      <c r="FQ114" s="4"/>
      <c r="FR114" s="5"/>
      <c r="FS114" s="5"/>
      <c r="FT114" s="5"/>
      <c r="FU114" s="4"/>
      <c r="FV114" s="5"/>
      <c r="FW114" s="5"/>
      <c r="FX114" s="5"/>
      <c r="FY114" s="5"/>
      <c r="FZ114" s="5"/>
      <c r="GA114" s="5"/>
      <c r="GB114" s="5"/>
      <c r="GC114" s="4"/>
      <c r="GD114" s="5"/>
      <c r="GE114" s="5"/>
      <c r="GF114" s="5"/>
      <c r="GG114" s="5"/>
      <c r="GH114" s="4"/>
      <c r="GI114" s="5"/>
      <c r="GJ114" s="5"/>
      <c r="GK114" s="4"/>
      <c r="GL114" s="5"/>
      <c r="GM114" s="5"/>
      <c r="GN114" s="5"/>
      <c r="GO114" s="5"/>
      <c r="GP114" s="5"/>
      <c r="GQ114" s="5"/>
      <c r="GR114" s="5"/>
      <c r="GS114" s="4"/>
      <c r="GT114" s="5"/>
      <c r="GU114" s="5"/>
      <c r="GV114" s="5"/>
      <c r="GW114" s="5"/>
      <c r="GX114" s="5"/>
      <c r="GY114" s="5"/>
      <c r="GZ114" s="5"/>
      <c r="HA114" s="4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4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</row>
    <row r="115" spans="1:350" x14ac:dyDescent="0.25">
      <c r="A115" s="6" t="s">
        <v>145</v>
      </c>
      <c r="B115" t="str">
        <f t="shared" si="10"/>
        <v>-54260</v>
      </c>
      <c r="C115" t="str">
        <f t="shared" si="13"/>
        <v>-43427</v>
      </c>
      <c r="D115" t="str">
        <f t="shared" si="14"/>
        <v xml:space="preserve"> 5</v>
      </c>
      <c r="E115" t="str">
        <f t="shared" si="15"/>
        <v xml:space="preserve">  4</v>
      </c>
      <c r="F115" s="5">
        <f t="shared" si="11"/>
        <v>170</v>
      </c>
      <c r="G115" s="5">
        <f t="shared" si="12"/>
        <v>117</v>
      </c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4"/>
      <c r="FI115" s="5"/>
      <c r="FJ115" s="5"/>
      <c r="FK115" s="5"/>
      <c r="FL115" s="5"/>
      <c r="FM115" s="5"/>
      <c r="FN115" s="5"/>
      <c r="FO115" s="5"/>
      <c r="FP115" s="4"/>
      <c r="FQ115" s="5"/>
      <c r="FR115" s="5"/>
      <c r="FS115" s="5"/>
      <c r="FT115" s="5"/>
      <c r="FU115" s="4"/>
      <c r="FV115" s="5"/>
      <c r="FW115" s="5"/>
      <c r="FX115" s="5"/>
      <c r="FY115" s="5"/>
      <c r="FZ115" s="5"/>
      <c r="GA115" s="5"/>
      <c r="GB115" s="5"/>
      <c r="GC115" s="4"/>
      <c r="GD115" s="4"/>
      <c r="GE115" s="4"/>
      <c r="GF115" s="4"/>
      <c r="GG115" s="4"/>
      <c r="GH115" s="5"/>
      <c r="GI115" s="5"/>
      <c r="GJ115" s="5"/>
      <c r="GK115" s="4"/>
      <c r="GL115" s="5"/>
      <c r="GM115" s="5"/>
      <c r="GN115" s="5"/>
      <c r="GO115" s="5"/>
      <c r="GP115" s="5"/>
      <c r="GQ115" s="5"/>
      <c r="GR115" s="5"/>
      <c r="GS115" s="4"/>
      <c r="GT115" s="5"/>
      <c r="GU115" s="5"/>
      <c r="GV115" s="5"/>
      <c r="GW115" s="5"/>
      <c r="GX115" s="5"/>
      <c r="GY115" s="5"/>
      <c r="GZ115" s="5"/>
      <c r="HA115" s="4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4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</row>
    <row r="116" spans="1:350" x14ac:dyDescent="0.25">
      <c r="A116" s="6" t="s">
        <v>146</v>
      </c>
      <c r="B116" t="str">
        <f t="shared" si="10"/>
        <v>-43333</v>
      </c>
      <c r="C116" t="str">
        <f t="shared" si="13"/>
        <v xml:space="preserve"> 10997</v>
      </c>
      <c r="D116" t="str">
        <f t="shared" si="14"/>
        <v xml:space="preserve"> 4</v>
      </c>
      <c r="E116" t="str">
        <f t="shared" si="15"/>
        <v xml:space="preserve"> -1</v>
      </c>
      <c r="F116" s="5">
        <f t="shared" si="11"/>
        <v>211</v>
      </c>
      <c r="G116" s="5">
        <f t="shared" si="12"/>
        <v>111</v>
      </c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4"/>
      <c r="FH116" s="5"/>
      <c r="FI116" s="5"/>
      <c r="FJ116" s="5"/>
      <c r="FK116" s="5"/>
      <c r="FL116" s="5"/>
      <c r="FM116" s="5"/>
      <c r="FN116" s="5"/>
      <c r="FO116" s="4"/>
      <c r="FP116" s="5"/>
      <c r="FQ116" s="5"/>
      <c r="FR116" s="5"/>
      <c r="FS116" s="5"/>
      <c r="FT116" s="5"/>
      <c r="FU116" s="4"/>
      <c r="FV116" s="5"/>
      <c r="FW116" s="5"/>
      <c r="FX116" s="5"/>
      <c r="FY116" s="5"/>
      <c r="FZ116" s="5"/>
      <c r="GA116" s="5"/>
      <c r="GB116" s="5"/>
      <c r="GC116" s="4"/>
      <c r="GD116" s="5"/>
      <c r="GE116" s="5"/>
      <c r="GF116" s="5"/>
      <c r="GG116" s="5"/>
      <c r="GH116" s="4"/>
      <c r="GI116" s="5"/>
      <c r="GJ116" s="5"/>
      <c r="GK116" s="4"/>
      <c r="GL116" s="5"/>
      <c r="GM116" s="5"/>
      <c r="GN116" s="4"/>
      <c r="GO116" s="4"/>
      <c r="GP116" s="4"/>
      <c r="GQ116" s="5"/>
      <c r="GR116" s="5"/>
      <c r="GS116" s="4"/>
      <c r="GT116" s="5"/>
      <c r="GU116" s="5"/>
      <c r="GV116" s="4"/>
      <c r="GW116" s="4"/>
      <c r="GX116" s="4"/>
      <c r="GY116" s="5"/>
      <c r="GZ116" s="5"/>
      <c r="HA116" s="4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4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</row>
    <row r="117" spans="1:350" x14ac:dyDescent="0.25">
      <c r="A117" s="6" t="s">
        <v>147</v>
      </c>
      <c r="B117" t="str">
        <f t="shared" si="10"/>
        <v>-21579</v>
      </c>
      <c r="C117" t="str">
        <f t="shared" si="13"/>
        <v xml:space="preserve"> 21884</v>
      </c>
      <c r="D117" t="str">
        <f t="shared" si="14"/>
        <v xml:space="preserve"> 2</v>
      </c>
      <c r="E117" t="str">
        <f t="shared" si="15"/>
        <v xml:space="preserve"> -2</v>
      </c>
      <c r="F117" s="5">
        <f t="shared" si="11"/>
        <v>193</v>
      </c>
      <c r="G117" s="5">
        <f t="shared" si="12"/>
        <v>112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4"/>
      <c r="FG117" s="5"/>
      <c r="FH117" s="5"/>
      <c r="FI117" s="5"/>
      <c r="FJ117" s="5"/>
      <c r="FK117" s="5"/>
      <c r="FL117" s="5"/>
      <c r="FM117" s="5"/>
      <c r="FN117" s="4"/>
      <c r="FO117" s="5"/>
      <c r="FP117" s="5"/>
      <c r="FQ117" s="5"/>
      <c r="FR117" s="5"/>
      <c r="FS117" s="5"/>
      <c r="FT117" s="5"/>
      <c r="FU117" s="4"/>
      <c r="FV117" s="5"/>
      <c r="FW117" s="5"/>
      <c r="FX117" s="5"/>
      <c r="FY117" s="5"/>
      <c r="FZ117" s="5"/>
      <c r="GA117" s="5"/>
      <c r="GB117" s="5"/>
      <c r="GC117" s="4"/>
      <c r="GD117" s="5"/>
      <c r="GE117" s="5"/>
      <c r="GF117" s="5"/>
      <c r="GG117" s="5"/>
      <c r="GH117" s="4"/>
      <c r="GI117" s="5"/>
      <c r="GJ117" s="5"/>
      <c r="GK117" s="4"/>
      <c r="GL117" s="5"/>
      <c r="GM117" s="5"/>
      <c r="GN117" s="5"/>
      <c r="GO117" s="5"/>
      <c r="GP117" s="4"/>
      <c r="GQ117" s="5"/>
      <c r="GR117" s="5"/>
      <c r="GS117" s="4"/>
      <c r="GT117" s="5"/>
      <c r="GU117" s="5"/>
      <c r="GV117" s="5"/>
      <c r="GW117" s="5"/>
      <c r="GX117" s="4"/>
      <c r="GY117" s="5"/>
      <c r="GZ117" s="5"/>
      <c r="HA117" s="4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4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</row>
    <row r="118" spans="1:350" x14ac:dyDescent="0.25">
      <c r="A118" s="6" t="s">
        <v>148</v>
      </c>
      <c r="B118" t="str">
        <f t="shared" si="10"/>
        <v>-43343</v>
      </c>
      <c r="C118" t="str">
        <f t="shared" si="13"/>
        <v xml:space="preserve"> 54545</v>
      </c>
      <c r="D118" t="str">
        <f t="shared" si="14"/>
        <v xml:space="preserve"> 4</v>
      </c>
      <c r="E118" t="str">
        <f t="shared" si="15"/>
        <v xml:space="preserve"> -5</v>
      </c>
      <c r="F118" s="5">
        <f t="shared" si="11"/>
        <v>201</v>
      </c>
      <c r="G118" s="5">
        <f t="shared" si="12"/>
        <v>115</v>
      </c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4"/>
      <c r="FF118" s="5"/>
      <c r="FG118" s="5"/>
      <c r="FH118" s="5"/>
      <c r="FI118" s="5"/>
      <c r="FJ118" s="5"/>
      <c r="FK118" s="5"/>
      <c r="FL118" s="5"/>
      <c r="FM118" s="4"/>
      <c r="FN118" s="5"/>
      <c r="FO118" s="5"/>
      <c r="FP118" s="5"/>
      <c r="FQ118" s="5"/>
      <c r="FR118" s="5"/>
      <c r="FS118" s="5"/>
      <c r="FT118" s="5"/>
      <c r="FU118" s="4"/>
      <c r="FV118" s="5"/>
      <c r="FW118" s="5"/>
      <c r="FX118" s="5"/>
      <c r="FY118" s="5"/>
      <c r="FZ118" s="5"/>
      <c r="GA118" s="5"/>
      <c r="GB118" s="5"/>
      <c r="GC118" s="4"/>
      <c r="GD118" s="5"/>
      <c r="GE118" s="5"/>
      <c r="GF118" s="5"/>
      <c r="GG118" s="5"/>
      <c r="GH118" s="4"/>
      <c r="GI118" s="5"/>
      <c r="GJ118" s="5"/>
      <c r="GK118" s="4"/>
      <c r="GL118" s="5"/>
      <c r="GM118" s="5"/>
      <c r="GN118" s="5"/>
      <c r="GO118" s="5"/>
      <c r="GP118" s="4"/>
      <c r="GQ118" s="5"/>
      <c r="GR118" s="5"/>
      <c r="GS118" s="4"/>
      <c r="GT118" s="5"/>
      <c r="GU118" s="5"/>
      <c r="GV118" s="5"/>
      <c r="GW118" s="5"/>
      <c r="GX118" s="4"/>
      <c r="GY118" s="5"/>
      <c r="GZ118" s="5"/>
      <c r="HA118" s="4"/>
      <c r="HB118" s="5"/>
      <c r="HC118" s="5"/>
      <c r="HD118" s="5"/>
      <c r="HE118" s="5"/>
      <c r="HF118" s="5"/>
      <c r="HG118" s="5"/>
      <c r="HH118" s="5"/>
      <c r="HI118" s="4"/>
      <c r="HJ118" s="5"/>
      <c r="HK118" s="5"/>
      <c r="HL118" s="5"/>
      <c r="HM118" s="4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</row>
    <row r="119" spans="1:350" x14ac:dyDescent="0.25">
      <c r="A119" s="6" t="s">
        <v>149</v>
      </c>
      <c r="B119" t="str">
        <f t="shared" si="10"/>
        <v>-10708</v>
      </c>
      <c r="C119" t="str">
        <f t="shared" si="13"/>
        <v>-43424</v>
      </c>
      <c r="D119" t="str">
        <f t="shared" si="14"/>
        <v xml:space="preserve"> 1</v>
      </c>
      <c r="E119" t="str">
        <f t="shared" si="15"/>
        <v xml:space="preserve">  4</v>
      </c>
      <c r="F119" s="5">
        <f t="shared" si="11"/>
        <v>178</v>
      </c>
      <c r="G119" s="5">
        <f t="shared" si="12"/>
        <v>120</v>
      </c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4"/>
      <c r="FF119" s="5"/>
      <c r="FG119" s="5"/>
      <c r="FH119" s="5"/>
      <c r="FI119" s="5"/>
      <c r="FJ119" s="5"/>
      <c r="FK119" s="5"/>
      <c r="FL119" s="5"/>
      <c r="FM119" s="4"/>
      <c r="FN119" s="5"/>
      <c r="FO119" s="5"/>
      <c r="FP119" s="5"/>
      <c r="FQ119" s="5"/>
      <c r="FR119" s="5"/>
      <c r="FS119" s="5"/>
      <c r="FT119" s="5"/>
      <c r="FU119" s="4"/>
      <c r="FV119" s="5"/>
      <c r="FW119" s="5"/>
      <c r="FX119" s="5"/>
      <c r="FY119" s="5"/>
      <c r="FZ119" s="4"/>
      <c r="GA119" s="5"/>
      <c r="GB119" s="5"/>
      <c r="GC119" s="4"/>
      <c r="GD119" s="5"/>
      <c r="GE119" s="5"/>
      <c r="GF119" s="5"/>
      <c r="GG119" s="5"/>
      <c r="GH119" s="4"/>
      <c r="GI119" s="5"/>
      <c r="GJ119" s="5"/>
      <c r="GK119" s="4"/>
      <c r="GL119" s="5"/>
      <c r="GM119" s="5"/>
      <c r="GN119" s="5"/>
      <c r="GO119" s="4"/>
      <c r="GP119" s="4"/>
      <c r="GQ119" s="5"/>
      <c r="GR119" s="5"/>
      <c r="GS119" s="4"/>
      <c r="GT119" s="5"/>
      <c r="GU119" s="5"/>
      <c r="GV119" s="5"/>
      <c r="GW119" s="4"/>
      <c r="GX119" s="4"/>
      <c r="GY119" s="5"/>
      <c r="GZ119" s="5"/>
      <c r="HA119" s="4"/>
      <c r="HB119" s="5"/>
      <c r="HC119" s="5"/>
      <c r="HD119" s="5"/>
      <c r="HE119" s="5"/>
      <c r="HF119" s="4"/>
      <c r="HG119" s="5"/>
      <c r="HH119" s="5"/>
      <c r="HI119" s="4"/>
      <c r="HJ119" s="5"/>
      <c r="HK119" s="5"/>
      <c r="HL119" s="5"/>
      <c r="HM119" s="4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</row>
    <row r="120" spans="1:350" x14ac:dyDescent="0.25">
      <c r="A120" s="6" t="s">
        <v>150</v>
      </c>
      <c r="B120" t="str">
        <f t="shared" si="10"/>
        <v xml:space="preserve"> 54601</v>
      </c>
      <c r="C120" t="str">
        <f t="shared" si="13"/>
        <v>-21661</v>
      </c>
      <c r="D120" t="str">
        <f t="shared" si="14"/>
        <v>-5</v>
      </c>
      <c r="E120" t="str">
        <f t="shared" si="15"/>
        <v xml:space="preserve">  2</v>
      </c>
      <c r="F120" s="5">
        <f t="shared" si="11"/>
        <v>171</v>
      </c>
      <c r="G120" s="5">
        <f t="shared" si="12"/>
        <v>111</v>
      </c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4"/>
      <c r="FF120" s="4"/>
      <c r="FG120" s="4"/>
      <c r="FH120" s="4"/>
      <c r="FI120" s="4"/>
      <c r="FJ120" s="4"/>
      <c r="FK120" s="5"/>
      <c r="FL120" s="5"/>
      <c r="FM120" s="4"/>
      <c r="FN120" s="4"/>
      <c r="FO120" s="4"/>
      <c r="FP120" s="4"/>
      <c r="FQ120" s="4"/>
      <c r="FR120" s="4"/>
      <c r="FS120" s="5"/>
      <c r="FT120" s="5"/>
      <c r="FU120" s="5"/>
      <c r="FV120" s="4"/>
      <c r="FW120" s="4"/>
      <c r="FX120" s="4"/>
      <c r="FY120" s="4"/>
      <c r="FZ120" s="5"/>
      <c r="GA120" s="5"/>
      <c r="GB120" s="5"/>
      <c r="GC120" s="4"/>
      <c r="GD120" s="4"/>
      <c r="GE120" s="4"/>
      <c r="GF120" s="4"/>
      <c r="GG120" s="4"/>
      <c r="GH120" s="5"/>
      <c r="GI120" s="5"/>
      <c r="GJ120" s="5"/>
      <c r="GK120" s="5"/>
      <c r="GL120" s="4"/>
      <c r="GM120" s="4"/>
      <c r="GN120" s="4"/>
      <c r="GO120" s="5"/>
      <c r="GP120" s="4"/>
      <c r="GQ120" s="5"/>
      <c r="GR120" s="5"/>
      <c r="GS120" s="5"/>
      <c r="GT120" s="4"/>
      <c r="GU120" s="4"/>
      <c r="GV120" s="4"/>
      <c r="GW120" s="5"/>
      <c r="GX120" s="4"/>
      <c r="GY120" s="5"/>
      <c r="GZ120" s="5"/>
      <c r="HA120" s="5"/>
      <c r="HB120" s="4"/>
      <c r="HC120" s="4"/>
      <c r="HD120" s="4"/>
      <c r="HE120" s="4"/>
      <c r="HF120" s="5"/>
      <c r="HG120" s="5"/>
      <c r="HH120" s="5"/>
      <c r="HI120" s="5"/>
      <c r="HJ120" s="4"/>
      <c r="HK120" s="4"/>
      <c r="HL120" s="4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</row>
    <row r="121" spans="1:350" x14ac:dyDescent="0.25">
      <c r="A121" s="6" t="s">
        <v>151</v>
      </c>
      <c r="B121" t="str">
        <f t="shared" si="10"/>
        <v>-32460</v>
      </c>
      <c r="C121" t="str">
        <f t="shared" si="13"/>
        <v>-21654</v>
      </c>
      <c r="D121" t="str">
        <f t="shared" si="14"/>
        <v xml:space="preserve"> 3</v>
      </c>
      <c r="E121" t="str">
        <f t="shared" si="15"/>
        <v xml:space="preserve">  2</v>
      </c>
      <c r="F121" s="5">
        <f t="shared" si="11"/>
        <v>198</v>
      </c>
      <c r="G121" s="5">
        <f t="shared" si="12"/>
        <v>118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</row>
    <row r="122" spans="1:350" x14ac:dyDescent="0.25">
      <c r="A122" s="6" t="s">
        <v>152</v>
      </c>
      <c r="B122" t="str">
        <f t="shared" si="10"/>
        <v xml:space="preserve"> 32848</v>
      </c>
      <c r="C122" t="str">
        <f t="shared" si="13"/>
        <v>-10770</v>
      </c>
      <c r="D122" t="str">
        <f t="shared" si="14"/>
        <v>-3</v>
      </c>
      <c r="E122" t="str">
        <f t="shared" si="15"/>
        <v xml:space="preserve">  1</v>
      </c>
      <c r="F122" s="5">
        <f t="shared" si="11"/>
        <v>190</v>
      </c>
      <c r="G122" s="5">
        <f t="shared" si="12"/>
        <v>116</v>
      </c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</row>
    <row r="123" spans="1:350" x14ac:dyDescent="0.25">
      <c r="A123" s="6" t="s">
        <v>153</v>
      </c>
      <c r="B123" t="str">
        <f t="shared" si="10"/>
        <v>-54209</v>
      </c>
      <c r="C123" t="str">
        <f t="shared" si="13"/>
        <v xml:space="preserve"> 21886</v>
      </c>
      <c r="D123" t="str">
        <f t="shared" si="14"/>
        <v xml:space="preserve"> 5</v>
      </c>
      <c r="E123" t="str">
        <f t="shared" si="15"/>
        <v xml:space="preserve"> -2</v>
      </c>
      <c r="F123" s="5">
        <f t="shared" si="11"/>
        <v>221</v>
      </c>
      <c r="G123" s="5">
        <f t="shared" si="12"/>
        <v>114</v>
      </c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</row>
    <row r="124" spans="1:350" x14ac:dyDescent="0.25">
      <c r="A124" s="6" t="s">
        <v>154</v>
      </c>
      <c r="B124" t="str">
        <f t="shared" si="10"/>
        <v xml:space="preserve"> 32844</v>
      </c>
      <c r="C124" t="str">
        <f t="shared" si="13"/>
        <v xml:space="preserve"> 32773</v>
      </c>
      <c r="D124" t="str">
        <f t="shared" si="14"/>
        <v>-3</v>
      </c>
      <c r="E124" t="str">
        <f t="shared" si="15"/>
        <v xml:space="preserve"> -3</v>
      </c>
      <c r="F124" s="5">
        <f t="shared" si="11"/>
        <v>186</v>
      </c>
      <c r="G124" s="5">
        <f t="shared" si="12"/>
        <v>115</v>
      </c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</row>
    <row r="125" spans="1:350" x14ac:dyDescent="0.25">
      <c r="A125" s="6" t="s">
        <v>155</v>
      </c>
      <c r="B125" t="str">
        <f t="shared" si="10"/>
        <v xml:space="preserve"> 32839</v>
      </c>
      <c r="C125" t="str">
        <f t="shared" si="13"/>
        <v xml:space="preserve"> 32778</v>
      </c>
      <c r="D125" t="str">
        <f t="shared" si="14"/>
        <v>-3</v>
      </c>
      <c r="E125" t="str">
        <f t="shared" si="15"/>
        <v xml:space="preserve"> -3</v>
      </c>
      <c r="F125" s="5">
        <f t="shared" si="11"/>
        <v>181</v>
      </c>
      <c r="G125" s="5">
        <f t="shared" si="12"/>
        <v>120</v>
      </c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</row>
    <row r="126" spans="1:350" x14ac:dyDescent="0.25">
      <c r="A126" s="6" t="s">
        <v>156</v>
      </c>
      <c r="B126" t="str">
        <f t="shared" si="10"/>
        <v>-43374</v>
      </c>
      <c r="C126" t="str">
        <f t="shared" si="13"/>
        <v>-43427</v>
      </c>
      <c r="D126" t="str">
        <f t="shared" si="14"/>
        <v xml:space="preserve"> 4</v>
      </c>
      <c r="E126" t="str">
        <f t="shared" si="15"/>
        <v xml:space="preserve">  4</v>
      </c>
      <c r="F126" s="5">
        <f t="shared" si="11"/>
        <v>170</v>
      </c>
      <c r="G126" s="5">
        <f t="shared" si="12"/>
        <v>117</v>
      </c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</row>
    <row r="127" spans="1:350" x14ac:dyDescent="0.25">
      <c r="A127" s="6" t="s">
        <v>157</v>
      </c>
      <c r="B127" t="str">
        <f t="shared" si="10"/>
        <v xml:space="preserve"> 32827</v>
      </c>
      <c r="C127" t="str">
        <f t="shared" si="13"/>
        <v xml:space="preserve"> 43662</v>
      </c>
      <c r="D127" t="str">
        <f t="shared" si="14"/>
        <v>-3</v>
      </c>
      <c r="E127" t="str">
        <f t="shared" si="15"/>
        <v xml:space="preserve"> -4</v>
      </c>
      <c r="F127" s="5">
        <f t="shared" si="11"/>
        <v>169</v>
      </c>
      <c r="G127" s="5">
        <f t="shared" si="12"/>
        <v>118</v>
      </c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</row>
    <row r="128" spans="1:350" x14ac:dyDescent="0.25">
      <c r="A128" s="6" t="s">
        <v>158</v>
      </c>
      <c r="B128" t="str">
        <f t="shared" si="10"/>
        <v>-21583</v>
      </c>
      <c r="C128" t="str">
        <f t="shared" si="13"/>
        <v>-43433</v>
      </c>
      <c r="D128" t="str">
        <f t="shared" si="14"/>
        <v xml:space="preserve"> 2</v>
      </c>
      <c r="E128" t="str">
        <f t="shared" si="15"/>
        <v xml:space="preserve">  4</v>
      </c>
      <c r="F128" s="5">
        <f t="shared" si="11"/>
        <v>189</v>
      </c>
      <c r="G128" s="5">
        <f t="shared" si="12"/>
        <v>111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</row>
    <row r="129" spans="1:350" x14ac:dyDescent="0.25">
      <c r="A129" s="6" t="s">
        <v>159</v>
      </c>
      <c r="B129" t="str">
        <f t="shared" si="10"/>
        <v xml:space="preserve"> 32819</v>
      </c>
      <c r="C129" t="str">
        <f t="shared" si="13"/>
        <v>-54311</v>
      </c>
      <c r="D129" t="str">
        <f t="shared" si="14"/>
        <v>-3</v>
      </c>
      <c r="E129" t="str">
        <f t="shared" si="15"/>
        <v xml:space="preserve">  5</v>
      </c>
      <c r="F129" s="5">
        <f t="shared" si="11"/>
        <v>161</v>
      </c>
      <c r="G129" s="5">
        <f t="shared" si="12"/>
        <v>119</v>
      </c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</row>
    <row r="130" spans="1:350" x14ac:dyDescent="0.25">
      <c r="A130" s="6" t="s">
        <v>160</v>
      </c>
      <c r="B130" t="str">
        <f t="shared" si="10"/>
        <v>-43371</v>
      </c>
      <c r="C130" t="str">
        <f t="shared" si="13"/>
        <v xml:space="preserve"> 43655</v>
      </c>
      <c r="D130" t="str">
        <f t="shared" si="14"/>
        <v xml:space="preserve"> 4</v>
      </c>
      <c r="E130" t="str">
        <f t="shared" si="15"/>
        <v xml:space="preserve"> -4</v>
      </c>
      <c r="F130" s="5">
        <f t="shared" si="11"/>
        <v>173</v>
      </c>
      <c r="G130" s="5">
        <f t="shared" si="12"/>
        <v>111</v>
      </c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</row>
    <row r="131" spans="1:350" x14ac:dyDescent="0.25">
      <c r="A131" s="6" t="s">
        <v>161</v>
      </c>
      <c r="B131" t="str">
        <f t="shared" ref="B131:B194" si="16">MID(A131,11,6)</f>
        <v>-32437</v>
      </c>
      <c r="C131" t="str">
        <f t="shared" si="13"/>
        <v xml:space="preserve"> 10997</v>
      </c>
      <c r="D131" t="str">
        <f t="shared" si="14"/>
        <v xml:space="preserve"> 3</v>
      </c>
      <c r="E131" t="str">
        <f t="shared" si="15"/>
        <v xml:space="preserve"> -1</v>
      </c>
      <c r="F131" s="5">
        <f t="shared" si="11"/>
        <v>221</v>
      </c>
      <c r="G131" s="5">
        <f t="shared" si="12"/>
        <v>111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</row>
    <row r="132" spans="1:350" x14ac:dyDescent="0.25">
      <c r="A132" s="6" t="s">
        <v>162</v>
      </c>
      <c r="B132" t="str">
        <f t="shared" si="16"/>
        <v>-21566</v>
      </c>
      <c r="C132" t="str">
        <f t="shared" si="13"/>
        <v xml:space="preserve"> 43664</v>
      </c>
      <c r="D132" t="str">
        <f t="shared" si="14"/>
        <v xml:space="preserve"> 2</v>
      </c>
      <c r="E132" t="str">
        <f t="shared" si="15"/>
        <v xml:space="preserve"> -4</v>
      </c>
      <c r="F132" s="5">
        <f t="shared" si="11"/>
        <v>206</v>
      </c>
      <c r="G132" s="5">
        <f t="shared" si="12"/>
        <v>120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</row>
    <row r="133" spans="1:350" x14ac:dyDescent="0.25">
      <c r="A133" s="6" t="s">
        <v>163</v>
      </c>
      <c r="B133" t="str">
        <f t="shared" si="16"/>
        <v>-43371</v>
      </c>
      <c r="C133" t="str">
        <f t="shared" si="13"/>
        <v>-21658</v>
      </c>
      <c r="D133" t="str">
        <f t="shared" si="14"/>
        <v xml:space="preserve"> 4</v>
      </c>
      <c r="E133" t="str">
        <f t="shared" si="15"/>
        <v xml:space="preserve">  2</v>
      </c>
      <c r="F133" s="5">
        <f t="shared" si="11"/>
        <v>173</v>
      </c>
      <c r="G133" s="5">
        <f t="shared" si="12"/>
        <v>114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</row>
    <row r="134" spans="1:350" x14ac:dyDescent="0.25">
      <c r="A134" s="6" t="s">
        <v>164</v>
      </c>
      <c r="B134" t="str">
        <f t="shared" si="16"/>
        <v xml:space="preserve"> 43707</v>
      </c>
      <c r="C134" t="str">
        <f t="shared" si="13"/>
        <v>-32542</v>
      </c>
      <c r="D134" t="str">
        <f t="shared" si="14"/>
        <v>-4</v>
      </c>
      <c r="E134" t="str">
        <f t="shared" si="15"/>
        <v xml:space="preserve">  3</v>
      </c>
      <c r="F134" s="5">
        <f t="shared" si="11"/>
        <v>163</v>
      </c>
      <c r="G134" s="5">
        <f t="shared" si="12"/>
        <v>116</v>
      </c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</row>
    <row r="135" spans="1:350" x14ac:dyDescent="0.25">
      <c r="A135" s="6" t="s">
        <v>165</v>
      </c>
      <c r="B135" t="str">
        <f t="shared" si="16"/>
        <v>-21551</v>
      </c>
      <c r="C135" t="str">
        <f t="shared" si="13"/>
        <v xml:space="preserve"> 11003</v>
      </c>
      <c r="D135" t="str">
        <f t="shared" si="14"/>
        <v xml:space="preserve"> 2</v>
      </c>
      <c r="E135" t="str">
        <f t="shared" si="15"/>
        <v xml:space="preserve"> -1</v>
      </c>
      <c r="F135" s="5">
        <f t="shared" si="11"/>
        <v>221</v>
      </c>
      <c r="G135" s="5">
        <f t="shared" si="12"/>
        <v>117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</row>
    <row r="136" spans="1:350" x14ac:dyDescent="0.25">
      <c r="A136" s="6" t="s">
        <v>166</v>
      </c>
      <c r="B136" t="str">
        <f t="shared" si="16"/>
        <v>-21599</v>
      </c>
      <c r="C136" t="str">
        <f t="shared" si="13"/>
        <v xml:space="preserve"> 11006</v>
      </c>
      <c r="D136" t="str">
        <f t="shared" si="14"/>
        <v xml:space="preserve"> 2</v>
      </c>
      <c r="E136" t="str">
        <f t="shared" si="15"/>
        <v xml:space="preserve"> -1</v>
      </c>
      <c r="F136" s="5">
        <f t="shared" si="11"/>
        <v>173</v>
      </c>
      <c r="G136" s="5">
        <f t="shared" si="12"/>
        <v>120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</row>
    <row r="137" spans="1:350" x14ac:dyDescent="0.25">
      <c r="A137" s="6" t="s">
        <v>167</v>
      </c>
      <c r="B137" t="str">
        <f t="shared" si="16"/>
        <v xml:space="preserve"> 11057</v>
      </c>
      <c r="C137" t="str">
        <f t="shared" si="13"/>
        <v xml:space="preserve"> 43660</v>
      </c>
      <c r="D137" t="str">
        <f t="shared" si="14"/>
        <v>-1</v>
      </c>
      <c r="E137" t="str">
        <f t="shared" si="15"/>
        <v xml:space="preserve"> -4</v>
      </c>
      <c r="F137" s="5">
        <f t="shared" si="11"/>
        <v>171</v>
      </c>
      <c r="G137" s="5">
        <f t="shared" si="12"/>
        <v>116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</row>
    <row r="138" spans="1:350" x14ac:dyDescent="0.25">
      <c r="A138" s="6" t="s">
        <v>168</v>
      </c>
      <c r="B138" t="str">
        <f t="shared" si="16"/>
        <v>-21571</v>
      </c>
      <c r="C138" t="str">
        <f t="shared" si="13"/>
        <v>-10773</v>
      </c>
      <c r="D138" t="str">
        <f t="shared" si="14"/>
        <v xml:space="preserve"> 2</v>
      </c>
      <c r="E138" t="str">
        <f t="shared" si="15"/>
        <v xml:space="preserve">  1</v>
      </c>
      <c r="F138" s="5">
        <f t="shared" si="11"/>
        <v>201</v>
      </c>
      <c r="G138" s="5">
        <f t="shared" si="12"/>
        <v>113</v>
      </c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</row>
    <row r="139" spans="1:350" x14ac:dyDescent="0.25">
      <c r="A139" s="6" t="s">
        <v>169</v>
      </c>
      <c r="B139" t="str">
        <f t="shared" si="16"/>
        <v xml:space="preserve"> 54609</v>
      </c>
      <c r="C139" t="str">
        <f t="shared" si="13"/>
        <v>-43424</v>
      </c>
      <c r="D139" t="str">
        <f t="shared" si="14"/>
        <v>-5</v>
      </c>
      <c r="E139" t="str">
        <f t="shared" si="15"/>
        <v xml:space="preserve">  4</v>
      </c>
      <c r="F139" s="5">
        <f t="shared" si="11"/>
        <v>179</v>
      </c>
      <c r="G139" s="5">
        <f t="shared" si="12"/>
        <v>120</v>
      </c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</row>
    <row r="140" spans="1:350" x14ac:dyDescent="0.25">
      <c r="A140" s="6" t="s">
        <v>170</v>
      </c>
      <c r="B140" t="str">
        <f t="shared" si="16"/>
        <v>-32473</v>
      </c>
      <c r="C140" t="str">
        <f t="shared" si="13"/>
        <v>-54311</v>
      </c>
      <c r="D140" t="str">
        <f t="shared" si="14"/>
        <v xml:space="preserve"> 3</v>
      </c>
      <c r="E140" t="str">
        <f t="shared" si="15"/>
        <v xml:space="preserve">  5</v>
      </c>
      <c r="F140" s="5">
        <f t="shared" si="11"/>
        <v>185</v>
      </c>
      <c r="G140" s="5">
        <f t="shared" si="12"/>
        <v>119</v>
      </c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</row>
    <row r="141" spans="1:350" x14ac:dyDescent="0.25">
      <c r="A141" s="6" t="s">
        <v>171</v>
      </c>
      <c r="B141" t="str">
        <f t="shared" si="16"/>
        <v>-21587</v>
      </c>
      <c r="C141" t="str">
        <f t="shared" si="13"/>
        <v>-54310</v>
      </c>
      <c r="D141" t="str">
        <f t="shared" si="14"/>
        <v xml:space="preserve"> 2</v>
      </c>
      <c r="E141" t="str">
        <f t="shared" si="15"/>
        <v xml:space="preserve">  5</v>
      </c>
      <c r="F141" s="5">
        <f t="shared" si="11"/>
        <v>185</v>
      </c>
      <c r="G141" s="5">
        <f t="shared" si="12"/>
        <v>120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</row>
    <row r="142" spans="1:350" x14ac:dyDescent="0.25">
      <c r="A142" s="6" t="s">
        <v>172</v>
      </c>
      <c r="B142" t="str">
        <f t="shared" si="16"/>
        <v>-43370</v>
      </c>
      <c r="C142" t="str">
        <f t="shared" si="13"/>
        <v>-54310</v>
      </c>
      <c r="D142" t="str">
        <f t="shared" si="14"/>
        <v xml:space="preserve"> 4</v>
      </c>
      <c r="E142" t="str">
        <f t="shared" si="15"/>
        <v xml:space="preserve">  5</v>
      </c>
      <c r="F142" s="5">
        <f t="shared" si="11"/>
        <v>174</v>
      </c>
      <c r="G142" s="5">
        <f t="shared" si="12"/>
        <v>120</v>
      </c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</row>
    <row r="143" spans="1:350" x14ac:dyDescent="0.25">
      <c r="A143" s="6" t="s">
        <v>173</v>
      </c>
      <c r="B143" t="str">
        <f t="shared" si="16"/>
        <v xml:space="preserve"> 54627</v>
      </c>
      <c r="C143" t="str">
        <f t="shared" si="13"/>
        <v xml:space="preserve"> 21883</v>
      </c>
      <c r="D143" t="str">
        <f t="shared" si="14"/>
        <v>-5</v>
      </c>
      <c r="E143" t="str">
        <f t="shared" si="15"/>
        <v xml:space="preserve"> -2</v>
      </c>
      <c r="F143" s="5">
        <f t="shared" si="11"/>
        <v>197</v>
      </c>
      <c r="G143" s="5">
        <f t="shared" si="12"/>
        <v>111</v>
      </c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</row>
    <row r="144" spans="1:350" x14ac:dyDescent="0.25">
      <c r="A144" s="6" t="s">
        <v>174</v>
      </c>
      <c r="B144" t="str">
        <f t="shared" si="16"/>
        <v xml:space="preserve"> 54620</v>
      </c>
      <c r="C144" t="str">
        <f t="shared" si="13"/>
        <v xml:space="preserve"> 32777</v>
      </c>
      <c r="D144" t="str">
        <f t="shared" si="14"/>
        <v>-5</v>
      </c>
      <c r="E144" t="str">
        <f t="shared" si="15"/>
        <v xml:space="preserve"> -3</v>
      </c>
      <c r="F144" s="5">
        <f t="shared" si="11"/>
        <v>190</v>
      </c>
      <c r="G144" s="5">
        <f t="shared" si="12"/>
        <v>119</v>
      </c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</row>
    <row r="145" spans="1:350" x14ac:dyDescent="0.25">
      <c r="A145" s="6" t="s">
        <v>175</v>
      </c>
      <c r="B145" t="str">
        <f t="shared" si="16"/>
        <v>-32473</v>
      </c>
      <c r="C145" t="str">
        <f t="shared" si="13"/>
        <v>-54316</v>
      </c>
      <c r="D145" t="str">
        <f t="shared" si="14"/>
        <v xml:space="preserve"> 3</v>
      </c>
      <c r="E145" t="str">
        <f t="shared" si="15"/>
        <v xml:space="preserve">  5</v>
      </c>
      <c r="F145" s="5">
        <f t="shared" si="11"/>
        <v>185</v>
      </c>
      <c r="G145" s="5">
        <f t="shared" si="12"/>
        <v>114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</row>
    <row r="146" spans="1:350" x14ac:dyDescent="0.25">
      <c r="A146" s="6" t="s">
        <v>176</v>
      </c>
      <c r="B146" t="str">
        <f t="shared" si="16"/>
        <v xml:space="preserve"> 54615</v>
      </c>
      <c r="C146" t="str">
        <f t="shared" si="13"/>
        <v xml:space="preserve"> 21892</v>
      </c>
      <c r="D146" t="str">
        <f t="shared" si="14"/>
        <v>-5</v>
      </c>
      <c r="E146" t="str">
        <f t="shared" si="15"/>
        <v xml:space="preserve"> -2</v>
      </c>
      <c r="F146" s="5">
        <f t="shared" si="11"/>
        <v>185</v>
      </c>
      <c r="G146" s="5">
        <f t="shared" si="12"/>
        <v>120</v>
      </c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</row>
    <row r="147" spans="1:350" x14ac:dyDescent="0.25">
      <c r="A147" s="6" t="s">
        <v>177</v>
      </c>
      <c r="B147" t="str">
        <f t="shared" si="16"/>
        <v>-21579</v>
      </c>
      <c r="C147" t="str">
        <f t="shared" si="13"/>
        <v>-54313</v>
      </c>
      <c r="D147" t="str">
        <f t="shared" si="14"/>
        <v xml:space="preserve"> 2</v>
      </c>
      <c r="E147" t="str">
        <f t="shared" si="15"/>
        <v xml:space="preserve">  5</v>
      </c>
      <c r="F147" s="5">
        <f t="shared" si="11"/>
        <v>193</v>
      </c>
      <c r="G147" s="5">
        <f t="shared" si="12"/>
        <v>117</v>
      </c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</row>
    <row r="148" spans="1:350" x14ac:dyDescent="0.25">
      <c r="A148" s="6" t="s">
        <v>178</v>
      </c>
      <c r="B148" t="str">
        <f t="shared" si="16"/>
        <v>-43370</v>
      </c>
      <c r="C148" t="str">
        <f t="shared" si="13"/>
        <v>-21652</v>
      </c>
      <c r="D148" t="str">
        <f t="shared" si="14"/>
        <v xml:space="preserve"> 4</v>
      </c>
      <c r="E148" t="str">
        <f t="shared" si="15"/>
        <v xml:space="preserve">  2</v>
      </c>
      <c r="F148" s="5">
        <f t="shared" si="11"/>
        <v>174</v>
      </c>
      <c r="G148" s="5">
        <f t="shared" si="12"/>
        <v>120</v>
      </c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</row>
    <row r="149" spans="1:350" x14ac:dyDescent="0.25">
      <c r="A149" s="6" t="s">
        <v>179</v>
      </c>
      <c r="B149" t="str">
        <f t="shared" si="16"/>
        <v>-10709</v>
      </c>
      <c r="C149" t="str">
        <f t="shared" si="13"/>
        <v>-54313</v>
      </c>
      <c r="D149" t="str">
        <f t="shared" si="14"/>
        <v xml:space="preserve"> 1</v>
      </c>
      <c r="E149" t="str">
        <f t="shared" si="15"/>
        <v xml:space="preserve">  5</v>
      </c>
      <c r="F149" s="5">
        <f t="shared" si="11"/>
        <v>177</v>
      </c>
      <c r="G149" s="5">
        <f t="shared" si="12"/>
        <v>117</v>
      </c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</row>
    <row r="150" spans="1:350" x14ac:dyDescent="0.25">
      <c r="A150" s="6" t="s">
        <v>180</v>
      </c>
      <c r="B150" t="str">
        <f t="shared" si="16"/>
        <v xml:space="preserve"> 43737</v>
      </c>
      <c r="C150" t="str">
        <f t="shared" si="13"/>
        <v xml:space="preserve"> 32777</v>
      </c>
      <c r="D150" t="str">
        <f t="shared" si="14"/>
        <v>-4</v>
      </c>
      <c r="E150" t="str">
        <f t="shared" si="15"/>
        <v xml:space="preserve"> -3</v>
      </c>
      <c r="F150" s="5">
        <f t="shared" si="11"/>
        <v>193</v>
      </c>
      <c r="G150" s="5">
        <f t="shared" si="12"/>
        <v>119</v>
      </c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</row>
    <row r="151" spans="1:350" x14ac:dyDescent="0.25">
      <c r="A151" s="6" t="s">
        <v>181</v>
      </c>
      <c r="B151" t="str">
        <f t="shared" si="16"/>
        <v xml:space="preserve"> 32843</v>
      </c>
      <c r="C151" t="str">
        <f t="shared" si="13"/>
        <v xml:space="preserve"> 11000</v>
      </c>
      <c r="D151" t="str">
        <f t="shared" si="14"/>
        <v>-3</v>
      </c>
      <c r="E151" t="str">
        <f t="shared" si="15"/>
        <v xml:space="preserve"> -1</v>
      </c>
      <c r="F151" s="5">
        <f t="shared" si="11"/>
        <v>185</v>
      </c>
      <c r="G151" s="5">
        <f t="shared" si="12"/>
        <v>114</v>
      </c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</row>
    <row r="152" spans="1:350" x14ac:dyDescent="0.25">
      <c r="A152" s="6" t="s">
        <v>182</v>
      </c>
      <c r="B152" t="str">
        <f t="shared" si="16"/>
        <v>-43383</v>
      </c>
      <c r="C152" t="str">
        <f t="shared" si="13"/>
        <v>-32547</v>
      </c>
      <c r="D152" t="str">
        <f t="shared" si="14"/>
        <v xml:space="preserve"> 4</v>
      </c>
      <c r="E152" t="str">
        <f t="shared" si="15"/>
        <v xml:space="preserve">  3</v>
      </c>
      <c r="F152" s="5">
        <f t="shared" si="11"/>
        <v>161</v>
      </c>
      <c r="G152" s="5">
        <f t="shared" si="12"/>
        <v>111</v>
      </c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</row>
    <row r="153" spans="1:350" x14ac:dyDescent="0.25">
      <c r="A153" s="6" t="s">
        <v>183</v>
      </c>
      <c r="B153" t="str">
        <f t="shared" si="16"/>
        <v>-43359</v>
      </c>
      <c r="C153" t="str">
        <f t="shared" si="13"/>
        <v xml:space="preserve"> 43661</v>
      </c>
      <c r="D153" t="str">
        <f t="shared" si="14"/>
        <v xml:space="preserve"> 4</v>
      </c>
      <c r="E153" t="str">
        <f t="shared" si="15"/>
        <v xml:space="preserve"> -4</v>
      </c>
      <c r="F153" s="5">
        <f t="shared" si="11"/>
        <v>185</v>
      </c>
      <c r="G153" s="5">
        <f t="shared" si="12"/>
        <v>117</v>
      </c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</row>
    <row r="154" spans="1:350" x14ac:dyDescent="0.25">
      <c r="A154" s="6" t="s">
        <v>184</v>
      </c>
      <c r="B154" t="str">
        <f t="shared" si="16"/>
        <v>-10720</v>
      </c>
      <c r="C154" t="str">
        <f t="shared" si="13"/>
        <v>-43433</v>
      </c>
      <c r="D154" t="str">
        <f t="shared" si="14"/>
        <v xml:space="preserve"> 1</v>
      </c>
      <c r="E154" t="str">
        <f t="shared" si="15"/>
        <v xml:space="preserve">  4</v>
      </c>
      <c r="F154" s="5">
        <f t="shared" si="11"/>
        <v>166</v>
      </c>
      <c r="G154" s="5">
        <f t="shared" si="12"/>
        <v>111</v>
      </c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</row>
    <row r="155" spans="1:350" x14ac:dyDescent="0.25">
      <c r="A155" s="6" t="s">
        <v>185</v>
      </c>
      <c r="B155" t="str">
        <f t="shared" si="16"/>
        <v xml:space="preserve"> 54620</v>
      </c>
      <c r="C155" t="str">
        <f t="shared" si="13"/>
        <v xml:space="preserve"> 32772</v>
      </c>
      <c r="D155" t="str">
        <f t="shared" si="14"/>
        <v>-5</v>
      </c>
      <c r="E155" t="str">
        <f t="shared" si="15"/>
        <v xml:space="preserve"> -3</v>
      </c>
      <c r="F155" s="5">
        <f t="shared" si="11"/>
        <v>190</v>
      </c>
      <c r="G155" s="5">
        <f t="shared" si="12"/>
        <v>114</v>
      </c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</row>
    <row r="156" spans="1:350" x14ac:dyDescent="0.25">
      <c r="A156" s="6" t="s">
        <v>186</v>
      </c>
      <c r="B156" t="str">
        <f t="shared" si="16"/>
        <v xml:space="preserve"> 43739</v>
      </c>
      <c r="C156" t="str">
        <f t="shared" si="13"/>
        <v xml:space="preserve"> 21892</v>
      </c>
      <c r="D156" t="str">
        <f t="shared" si="14"/>
        <v>-4</v>
      </c>
      <c r="E156" t="str">
        <f t="shared" si="15"/>
        <v xml:space="preserve"> -2</v>
      </c>
      <c r="F156" s="5">
        <f t="shared" si="11"/>
        <v>195</v>
      </c>
      <c r="G156" s="5">
        <f t="shared" si="12"/>
        <v>120</v>
      </c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</row>
    <row r="157" spans="1:350" x14ac:dyDescent="0.25">
      <c r="A157" s="6" t="s">
        <v>187</v>
      </c>
      <c r="B157" t="str">
        <f t="shared" si="16"/>
        <v xml:space="preserve"> 54615</v>
      </c>
      <c r="C157" t="str">
        <f t="shared" si="13"/>
        <v xml:space="preserve"> 43656</v>
      </c>
      <c r="D157" t="str">
        <f t="shared" si="14"/>
        <v>-5</v>
      </c>
      <c r="E157" t="str">
        <f t="shared" si="15"/>
        <v xml:space="preserve"> -4</v>
      </c>
      <c r="F157" s="5">
        <f t="shared" si="11"/>
        <v>185</v>
      </c>
      <c r="G157" s="5">
        <f t="shared" si="12"/>
        <v>112</v>
      </c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</row>
    <row r="158" spans="1:350" x14ac:dyDescent="0.25">
      <c r="A158" s="6" t="s">
        <v>188</v>
      </c>
      <c r="B158" t="str">
        <f t="shared" si="16"/>
        <v>-32471</v>
      </c>
      <c r="C158" t="str">
        <f t="shared" si="13"/>
        <v xml:space="preserve"> 32769</v>
      </c>
      <c r="D158" t="str">
        <f t="shared" si="14"/>
        <v xml:space="preserve"> 3</v>
      </c>
      <c r="E158" t="str">
        <f t="shared" si="15"/>
        <v xml:space="preserve"> -3</v>
      </c>
      <c r="F158" s="5">
        <f t="shared" si="11"/>
        <v>187</v>
      </c>
      <c r="G158" s="5">
        <f t="shared" si="12"/>
        <v>111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</row>
    <row r="159" spans="1:350" x14ac:dyDescent="0.25">
      <c r="A159" s="6" t="s">
        <v>189</v>
      </c>
      <c r="B159" t="str">
        <f t="shared" si="16"/>
        <v>-54232</v>
      </c>
      <c r="C159" t="str">
        <f t="shared" si="13"/>
        <v xml:space="preserve"> 21884</v>
      </c>
      <c r="D159" t="str">
        <f t="shared" si="14"/>
        <v xml:space="preserve"> 5</v>
      </c>
      <c r="E159" t="str">
        <f t="shared" si="15"/>
        <v xml:space="preserve"> -2</v>
      </c>
      <c r="F159" s="5">
        <f t="shared" si="11"/>
        <v>198</v>
      </c>
      <c r="G159" s="5">
        <f t="shared" si="12"/>
        <v>112</v>
      </c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</row>
    <row r="160" spans="1:350" x14ac:dyDescent="0.25">
      <c r="A160" s="6" t="s">
        <v>190</v>
      </c>
      <c r="B160" t="str">
        <f t="shared" si="16"/>
        <v xml:space="preserve"> 11107</v>
      </c>
      <c r="C160" t="str">
        <f t="shared" si="13"/>
        <v>-10769</v>
      </c>
      <c r="D160" t="str">
        <f t="shared" si="14"/>
        <v>-1</v>
      </c>
      <c r="E160" t="str">
        <f t="shared" si="15"/>
        <v xml:space="preserve">  1</v>
      </c>
      <c r="F160" s="5">
        <f t="shared" si="11"/>
        <v>221</v>
      </c>
      <c r="G160" s="5">
        <f t="shared" si="12"/>
        <v>117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</row>
    <row r="161" spans="1:350" x14ac:dyDescent="0.25">
      <c r="A161" s="6" t="s">
        <v>191</v>
      </c>
      <c r="B161" t="str">
        <f t="shared" si="16"/>
        <v>-43383</v>
      </c>
      <c r="C161" t="str">
        <f t="shared" si="13"/>
        <v xml:space="preserve"> 21890</v>
      </c>
      <c r="D161" t="str">
        <f t="shared" si="14"/>
        <v xml:space="preserve"> 4</v>
      </c>
      <c r="E161" t="str">
        <f t="shared" si="15"/>
        <v xml:space="preserve"> -2</v>
      </c>
      <c r="F161" s="5">
        <f t="shared" ref="F161:F224" si="17">B161+(D161*$I$1)</f>
        <v>161</v>
      </c>
      <c r="G161" s="5">
        <f t="shared" ref="G161:G224" si="18">C161+(E161*$I$1)</f>
        <v>118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</row>
    <row r="162" spans="1:350" x14ac:dyDescent="0.25">
      <c r="A162" s="6" t="s">
        <v>192</v>
      </c>
      <c r="B162" t="str">
        <f t="shared" si="16"/>
        <v xml:space="preserve"> 21951</v>
      </c>
      <c r="C162" t="str">
        <f t="shared" ref="C162:C225" si="19">MID(A162,19,6)</f>
        <v xml:space="preserve"> 54550</v>
      </c>
      <c r="D162" t="str">
        <f t="shared" ref="D162:D225" si="20">MID(A162,37,2)</f>
        <v>-2</v>
      </c>
      <c r="E162" t="str">
        <f t="shared" ref="E162:E225" si="21">MID(A162,40,3)</f>
        <v xml:space="preserve"> -5</v>
      </c>
      <c r="F162" s="5">
        <f t="shared" si="17"/>
        <v>179</v>
      </c>
      <c r="G162" s="5">
        <f t="shared" si="18"/>
        <v>120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</row>
    <row r="163" spans="1:350" x14ac:dyDescent="0.25">
      <c r="A163" s="6" t="s">
        <v>193</v>
      </c>
      <c r="B163" t="str">
        <f t="shared" si="16"/>
        <v xml:space="preserve"> 43747</v>
      </c>
      <c r="C163" t="str">
        <f t="shared" si="19"/>
        <v>-21661</v>
      </c>
      <c r="D163" t="str">
        <f t="shared" si="20"/>
        <v>-4</v>
      </c>
      <c r="E163" t="str">
        <f t="shared" si="21"/>
        <v xml:space="preserve">  2</v>
      </c>
      <c r="F163" s="5">
        <f t="shared" si="17"/>
        <v>203</v>
      </c>
      <c r="G163" s="5">
        <f t="shared" si="18"/>
        <v>111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</row>
    <row r="164" spans="1:350" x14ac:dyDescent="0.25">
      <c r="A164" s="6" t="s">
        <v>194</v>
      </c>
      <c r="B164" t="str">
        <f t="shared" si="16"/>
        <v>-32494</v>
      </c>
      <c r="C164" t="str">
        <f t="shared" si="19"/>
        <v>-43433</v>
      </c>
      <c r="D164" t="str">
        <f t="shared" si="20"/>
        <v xml:space="preserve"> 3</v>
      </c>
      <c r="E164" t="str">
        <f t="shared" si="21"/>
        <v xml:space="preserve">  4</v>
      </c>
      <c r="F164" s="5">
        <f t="shared" si="17"/>
        <v>164</v>
      </c>
      <c r="G164" s="5">
        <f t="shared" si="18"/>
        <v>111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</row>
    <row r="165" spans="1:350" x14ac:dyDescent="0.25">
      <c r="A165" s="6" t="s">
        <v>195</v>
      </c>
      <c r="B165" t="str">
        <f t="shared" si="16"/>
        <v>-21563</v>
      </c>
      <c r="C165" t="str">
        <f t="shared" si="19"/>
        <v>-54316</v>
      </c>
      <c r="D165" t="str">
        <f t="shared" si="20"/>
        <v xml:space="preserve"> 2</v>
      </c>
      <c r="E165" t="str">
        <f t="shared" si="21"/>
        <v xml:space="preserve">  5</v>
      </c>
      <c r="F165" s="5">
        <f t="shared" si="17"/>
        <v>209</v>
      </c>
      <c r="G165" s="5">
        <f t="shared" si="18"/>
        <v>114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</row>
    <row r="166" spans="1:350" x14ac:dyDescent="0.25">
      <c r="A166" s="6" t="s">
        <v>196</v>
      </c>
      <c r="B166" t="str">
        <f t="shared" si="16"/>
        <v>-54224</v>
      </c>
      <c r="C166" t="str">
        <f t="shared" si="19"/>
        <v xml:space="preserve"> 11002</v>
      </c>
      <c r="D166" t="str">
        <f t="shared" si="20"/>
        <v xml:space="preserve"> 5</v>
      </c>
      <c r="E166" t="str">
        <f t="shared" si="21"/>
        <v xml:space="preserve"> -1</v>
      </c>
      <c r="F166" s="5">
        <f t="shared" si="17"/>
        <v>206</v>
      </c>
      <c r="G166" s="5">
        <f t="shared" si="18"/>
        <v>116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</row>
    <row r="167" spans="1:350" x14ac:dyDescent="0.25">
      <c r="A167" s="6" t="s">
        <v>197</v>
      </c>
      <c r="B167" t="str">
        <f t="shared" si="16"/>
        <v>-43372</v>
      </c>
      <c r="C167" t="str">
        <f t="shared" si="19"/>
        <v>-32538</v>
      </c>
      <c r="D167" t="str">
        <f t="shared" si="20"/>
        <v xml:space="preserve"> 4</v>
      </c>
      <c r="E167" t="str">
        <f t="shared" si="21"/>
        <v xml:space="preserve">  3</v>
      </c>
      <c r="F167" s="5">
        <f t="shared" si="17"/>
        <v>172</v>
      </c>
      <c r="G167" s="5">
        <f t="shared" si="18"/>
        <v>120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</row>
    <row r="168" spans="1:350" x14ac:dyDescent="0.25">
      <c r="A168" s="6" t="s">
        <v>198</v>
      </c>
      <c r="B168" t="str">
        <f t="shared" si="16"/>
        <v>-43342</v>
      </c>
      <c r="C168" t="str">
        <f t="shared" si="19"/>
        <v>-21652</v>
      </c>
      <c r="D168" t="str">
        <f t="shared" si="20"/>
        <v xml:space="preserve"> 4</v>
      </c>
      <c r="E168" t="str">
        <f t="shared" si="21"/>
        <v xml:space="preserve">  2</v>
      </c>
      <c r="F168" s="5">
        <f t="shared" si="17"/>
        <v>202</v>
      </c>
      <c r="G168" s="5">
        <f t="shared" si="18"/>
        <v>120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</row>
    <row r="169" spans="1:350" x14ac:dyDescent="0.25">
      <c r="A169" s="6" t="s">
        <v>199</v>
      </c>
      <c r="B169" t="str">
        <f t="shared" si="16"/>
        <v xml:space="preserve"> 11079</v>
      </c>
      <c r="C169" t="str">
        <f t="shared" si="19"/>
        <v xml:space="preserve"> 54548</v>
      </c>
      <c r="D169" t="str">
        <f t="shared" si="20"/>
        <v>-1</v>
      </c>
      <c r="E169" t="str">
        <f t="shared" si="21"/>
        <v xml:space="preserve"> -5</v>
      </c>
      <c r="F169" s="5">
        <f t="shared" si="17"/>
        <v>193</v>
      </c>
      <c r="G169" s="5">
        <f t="shared" si="18"/>
        <v>118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</row>
    <row r="170" spans="1:350" x14ac:dyDescent="0.25">
      <c r="A170" s="6" t="s">
        <v>200</v>
      </c>
      <c r="B170" t="str">
        <f t="shared" si="16"/>
        <v xml:space="preserve"> 11106</v>
      </c>
      <c r="C170" t="str">
        <f t="shared" si="19"/>
        <v>-32538</v>
      </c>
      <c r="D170" t="str">
        <f t="shared" si="20"/>
        <v>-1</v>
      </c>
      <c r="E170" t="str">
        <f t="shared" si="21"/>
        <v xml:space="preserve">  3</v>
      </c>
      <c r="F170" s="5">
        <f t="shared" si="17"/>
        <v>220</v>
      </c>
      <c r="G170" s="5">
        <f t="shared" si="18"/>
        <v>120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</row>
    <row r="171" spans="1:350" x14ac:dyDescent="0.25">
      <c r="A171" s="6" t="s">
        <v>201</v>
      </c>
      <c r="B171" t="str">
        <f t="shared" si="16"/>
        <v>-32488</v>
      </c>
      <c r="C171" t="str">
        <f t="shared" si="19"/>
        <v>-54310</v>
      </c>
      <c r="D171" t="str">
        <f t="shared" si="20"/>
        <v xml:space="preserve"> 3</v>
      </c>
      <c r="E171" t="str">
        <f t="shared" si="21"/>
        <v xml:space="preserve">  5</v>
      </c>
      <c r="F171" s="5">
        <f t="shared" si="17"/>
        <v>170</v>
      </c>
      <c r="G171" s="5">
        <f t="shared" si="18"/>
        <v>120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</row>
    <row r="172" spans="1:350" x14ac:dyDescent="0.25">
      <c r="A172" s="6" t="s">
        <v>202</v>
      </c>
      <c r="B172" t="str">
        <f t="shared" si="16"/>
        <v xml:space="preserve"> 43748</v>
      </c>
      <c r="C172" t="str">
        <f t="shared" si="19"/>
        <v xml:space="preserve"> 43664</v>
      </c>
      <c r="D172" t="str">
        <f t="shared" si="20"/>
        <v>-4</v>
      </c>
      <c r="E172" t="str">
        <f t="shared" si="21"/>
        <v xml:space="preserve"> -4</v>
      </c>
      <c r="F172" s="5">
        <f t="shared" si="17"/>
        <v>204</v>
      </c>
      <c r="G172" s="5">
        <f t="shared" si="18"/>
        <v>120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</row>
    <row r="173" spans="1:350" x14ac:dyDescent="0.25">
      <c r="A173" s="6" t="s">
        <v>203</v>
      </c>
      <c r="B173" t="str">
        <f t="shared" si="16"/>
        <v xml:space="preserve"> 11063</v>
      </c>
      <c r="C173" t="str">
        <f t="shared" si="19"/>
        <v xml:space="preserve"> 43658</v>
      </c>
      <c r="D173" t="str">
        <f t="shared" si="20"/>
        <v>-1</v>
      </c>
      <c r="E173" t="str">
        <f t="shared" si="21"/>
        <v xml:space="preserve"> -4</v>
      </c>
      <c r="F173" s="5">
        <f t="shared" si="17"/>
        <v>177</v>
      </c>
      <c r="G173" s="5">
        <f t="shared" si="18"/>
        <v>114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</row>
    <row r="174" spans="1:350" x14ac:dyDescent="0.25">
      <c r="A174" s="6" t="s">
        <v>204</v>
      </c>
      <c r="B174" t="str">
        <f t="shared" si="16"/>
        <v>-54240</v>
      </c>
      <c r="C174" t="str">
        <f t="shared" si="19"/>
        <v xml:space="preserve"> 54543</v>
      </c>
      <c r="D174" t="str">
        <f t="shared" si="20"/>
        <v xml:space="preserve"> 5</v>
      </c>
      <c r="E174" t="str">
        <f t="shared" si="21"/>
        <v xml:space="preserve"> -5</v>
      </c>
      <c r="F174" s="5">
        <f t="shared" si="17"/>
        <v>190</v>
      </c>
      <c r="G174" s="5">
        <f t="shared" si="18"/>
        <v>113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</row>
    <row r="175" spans="1:350" x14ac:dyDescent="0.25">
      <c r="A175" s="6" t="s">
        <v>205</v>
      </c>
      <c r="B175" t="str">
        <f t="shared" si="16"/>
        <v xml:space="preserve"> 21983</v>
      </c>
      <c r="C175" t="str">
        <f t="shared" si="19"/>
        <v xml:space="preserve"> 43655</v>
      </c>
      <c r="D175" t="str">
        <f t="shared" si="20"/>
        <v>-2</v>
      </c>
      <c r="E175" t="str">
        <f t="shared" si="21"/>
        <v xml:space="preserve"> -4</v>
      </c>
      <c r="F175" s="5">
        <f t="shared" si="17"/>
        <v>211</v>
      </c>
      <c r="G175" s="5">
        <f t="shared" si="18"/>
        <v>111</v>
      </c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</row>
    <row r="176" spans="1:350" x14ac:dyDescent="0.25">
      <c r="A176" s="6" t="s">
        <v>206</v>
      </c>
      <c r="B176" t="str">
        <f t="shared" si="16"/>
        <v>-21551</v>
      </c>
      <c r="C176" t="str">
        <f t="shared" si="19"/>
        <v xml:space="preserve"> 32773</v>
      </c>
      <c r="D176" t="str">
        <f t="shared" si="20"/>
        <v xml:space="preserve"> 2</v>
      </c>
      <c r="E176" t="str">
        <f t="shared" si="21"/>
        <v xml:space="preserve"> -3</v>
      </c>
      <c r="F176" s="5">
        <f t="shared" si="17"/>
        <v>221</v>
      </c>
      <c r="G176" s="5">
        <f t="shared" si="18"/>
        <v>115</v>
      </c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</row>
    <row r="177" spans="1:350" x14ac:dyDescent="0.25">
      <c r="A177" s="6" t="s">
        <v>207</v>
      </c>
      <c r="B177" t="str">
        <f t="shared" si="16"/>
        <v>-21607</v>
      </c>
      <c r="C177" t="str">
        <f t="shared" si="19"/>
        <v>-32547</v>
      </c>
      <c r="D177" t="str">
        <f t="shared" si="20"/>
        <v xml:space="preserve"> 2</v>
      </c>
      <c r="E177" t="str">
        <f t="shared" si="21"/>
        <v xml:space="preserve">  3</v>
      </c>
      <c r="F177" s="5">
        <f t="shared" si="17"/>
        <v>165</v>
      </c>
      <c r="G177" s="5">
        <f t="shared" si="18"/>
        <v>111</v>
      </c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</row>
    <row r="178" spans="1:350" x14ac:dyDescent="0.25">
      <c r="A178" s="6" t="s">
        <v>208</v>
      </c>
      <c r="B178" t="str">
        <f t="shared" si="16"/>
        <v>-10709</v>
      </c>
      <c r="C178" t="str">
        <f t="shared" si="19"/>
        <v>-54315</v>
      </c>
      <c r="D178" t="str">
        <f t="shared" si="20"/>
        <v xml:space="preserve"> 1</v>
      </c>
      <c r="E178" t="str">
        <f t="shared" si="21"/>
        <v xml:space="preserve">  5</v>
      </c>
      <c r="F178" s="5">
        <f t="shared" si="17"/>
        <v>177</v>
      </c>
      <c r="G178" s="5">
        <f t="shared" si="18"/>
        <v>115</v>
      </c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</row>
    <row r="179" spans="1:350" x14ac:dyDescent="0.25">
      <c r="A179" s="6" t="s">
        <v>209</v>
      </c>
      <c r="B179" t="str">
        <f t="shared" si="16"/>
        <v xml:space="preserve"> 21978</v>
      </c>
      <c r="C179" t="str">
        <f t="shared" si="19"/>
        <v xml:space="preserve"> 32775</v>
      </c>
      <c r="D179" t="str">
        <f t="shared" si="20"/>
        <v>-2</v>
      </c>
      <c r="E179" t="str">
        <f t="shared" si="21"/>
        <v xml:space="preserve"> -3</v>
      </c>
      <c r="F179" s="5">
        <f t="shared" si="17"/>
        <v>206</v>
      </c>
      <c r="G179" s="5">
        <f t="shared" si="18"/>
        <v>117</v>
      </c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</row>
    <row r="180" spans="1:350" x14ac:dyDescent="0.25">
      <c r="A180" s="6" t="s">
        <v>210</v>
      </c>
      <c r="B180" t="str">
        <f t="shared" si="16"/>
        <v xml:space="preserve"> 32864</v>
      </c>
      <c r="C180" t="str">
        <f t="shared" si="19"/>
        <v>-21653</v>
      </c>
      <c r="D180" t="str">
        <f t="shared" si="20"/>
        <v>-3</v>
      </c>
      <c r="E180" t="str">
        <f t="shared" si="21"/>
        <v xml:space="preserve">  2</v>
      </c>
      <c r="F180" s="5">
        <f t="shared" si="17"/>
        <v>206</v>
      </c>
      <c r="G180" s="5">
        <f t="shared" si="18"/>
        <v>119</v>
      </c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</row>
    <row r="181" spans="1:350" x14ac:dyDescent="0.25">
      <c r="A181" s="6" t="s">
        <v>211</v>
      </c>
      <c r="B181" t="str">
        <f t="shared" si="16"/>
        <v>-32464</v>
      </c>
      <c r="C181" t="str">
        <f t="shared" si="19"/>
        <v xml:space="preserve"> 43655</v>
      </c>
      <c r="D181" t="str">
        <f t="shared" si="20"/>
        <v xml:space="preserve"> 3</v>
      </c>
      <c r="E181" t="str">
        <f t="shared" si="21"/>
        <v xml:space="preserve"> -4</v>
      </c>
      <c r="F181" s="5">
        <f t="shared" si="17"/>
        <v>194</v>
      </c>
      <c r="G181" s="5">
        <f t="shared" si="18"/>
        <v>111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</row>
    <row r="182" spans="1:350" x14ac:dyDescent="0.25">
      <c r="A182" s="6" t="s">
        <v>212</v>
      </c>
      <c r="B182" t="str">
        <f t="shared" si="16"/>
        <v xml:space="preserve"> 32848</v>
      </c>
      <c r="C182" t="str">
        <f t="shared" si="19"/>
        <v>-54312</v>
      </c>
      <c r="D182" t="str">
        <f t="shared" si="20"/>
        <v>-3</v>
      </c>
      <c r="E182" t="str">
        <f t="shared" si="21"/>
        <v xml:space="preserve">  5</v>
      </c>
      <c r="F182" s="5">
        <f t="shared" si="17"/>
        <v>190</v>
      </c>
      <c r="G182" s="5">
        <f t="shared" si="18"/>
        <v>118</v>
      </c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</row>
    <row r="183" spans="1:350" x14ac:dyDescent="0.25">
      <c r="A183" s="6" t="s">
        <v>213</v>
      </c>
      <c r="B183" t="str">
        <f t="shared" si="16"/>
        <v xml:space="preserve"> 54639</v>
      </c>
      <c r="C183" t="str">
        <f t="shared" si="19"/>
        <v xml:space="preserve"> 32772</v>
      </c>
      <c r="D183" t="str">
        <f t="shared" si="20"/>
        <v>-5</v>
      </c>
      <c r="E183" t="str">
        <f t="shared" si="21"/>
        <v xml:space="preserve"> -3</v>
      </c>
      <c r="F183" s="5">
        <f t="shared" si="17"/>
        <v>209</v>
      </c>
      <c r="G183" s="5">
        <f t="shared" si="18"/>
        <v>114</v>
      </c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</row>
    <row r="184" spans="1:350" x14ac:dyDescent="0.25">
      <c r="A184" s="6" t="s">
        <v>214</v>
      </c>
      <c r="B184" t="str">
        <f t="shared" si="16"/>
        <v>-43380</v>
      </c>
      <c r="C184" t="str">
        <f t="shared" si="19"/>
        <v>-21657</v>
      </c>
      <c r="D184" t="str">
        <f t="shared" si="20"/>
        <v xml:space="preserve"> 4</v>
      </c>
      <c r="E184" t="str">
        <f t="shared" si="21"/>
        <v xml:space="preserve">  2</v>
      </c>
      <c r="F184" s="5">
        <f t="shared" si="17"/>
        <v>164</v>
      </c>
      <c r="G184" s="5">
        <f t="shared" si="18"/>
        <v>115</v>
      </c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</row>
    <row r="185" spans="1:350" x14ac:dyDescent="0.25">
      <c r="A185" s="6" t="s">
        <v>215</v>
      </c>
      <c r="B185" t="str">
        <f t="shared" si="16"/>
        <v>-43371</v>
      </c>
      <c r="C185" t="str">
        <f t="shared" si="19"/>
        <v xml:space="preserve"> 54544</v>
      </c>
      <c r="D185" t="str">
        <f t="shared" si="20"/>
        <v xml:space="preserve"> 4</v>
      </c>
      <c r="E185" t="str">
        <f t="shared" si="21"/>
        <v xml:space="preserve"> -5</v>
      </c>
      <c r="F185" s="5">
        <f t="shared" si="17"/>
        <v>173</v>
      </c>
      <c r="G185" s="5">
        <f t="shared" si="18"/>
        <v>114</v>
      </c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</row>
    <row r="186" spans="1:350" x14ac:dyDescent="0.25">
      <c r="A186" s="6" t="s">
        <v>216</v>
      </c>
      <c r="B186" t="str">
        <f t="shared" si="16"/>
        <v xml:space="preserve"> 11079</v>
      </c>
      <c r="C186" t="str">
        <f t="shared" si="19"/>
        <v>-43429</v>
      </c>
      <c r="D186" t="str">
        <f t="shared" si="20"/>
        <v>-1</v>
      </c>
      <c r="E186" t="str">
        <f t="shared" si="21"/>
        <v xml:space="preserve">  4</v>
      </c>
      <c r="F186" s="5">
        <f t="shared" si="17"/>
        <v>193</v>
      </c>
      <c r="G186" s="5">
        <f t="shared" si="18"/>
        <v>115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</row>
    <row r="187" spans="1:350" x14ac:dyDescent="0.25">
      <c r="A187" s="6" t="s">
        <v>217</v>
      </c>
      <c r="B187" t="str">
        <f t="shared" si="16"/>
        <v xml:space="preserve"> 11099</v>
      </c>
      <c r="C187" t="str">
        <f t="shared" si="19"/>
        <v xml:space="preserve"> 43664</v>
      </c>
      <c r="D187" t="str">
        <f t="shared" si="20"/>
        <v>-1</v>
      </c>
      <c r="E187" t="str">
        <f t="shared" si="21"/>
        <v xml:space="preserve"> -4</v>
      </c>
      <c r="F187" s="5">
        <f t="shared" si="17"/>
        <v>213</v>
      </c>
      <c r="G187" s="5">
        <f t="shared" si="18"/>
        <v>120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</row>
    <row r="188" spans="1:350" x14ac:dyDescent="0.25">
      <c r="A188" s="6" t="s">
        <v>218</v>
      </c>
      <c r="B188" t="str">
        <f t="shared" si="16"/>
        <v xml:space="preserve"> 54591</v>
      </c>
      <c r="C188" t="str">
        <f t="shared" si="19"/>
        <v>-21653</v>
      </c>
      <c r="D188" t="str">
        <f t="shared" si="20"/>
        <v>-5</v>
      </c>
      <c r="E188" t="str">
        <f t="shared" si="21"/>
        <v xml:space="preserve">  2</v>
      </c>
      <c r="F188" s="5">
        <f t="shared" si="17"/>
        <v>161</v>
      </c>
      <c r="G188" s="5">
        <f t="shared" si="18"/>
        <v>119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</row>
    <row r="189" spans="1:350" x14ac:dyDescent="0.25">
      <c r="A189" s="6" t="s">
        <v>219</v>
      </c>
      <c r="B189" t="str">
        <f t="shared" si="16"/>
        <v>-10715</v>
      </c>
      <c r="C189" t="str">
        <f t="shared" si="19"/>
        <v>-54310</v>
      </c>
      <c r="D189" t="str">
        <f t="shared" si="20"/>
        <v xml:space="preserve"> 1</v>
      </c>
      <c r="E189" t="str">
        <f t="shared" si="21"/>
        <v xml:space="preserve">  5</v>
      </c>
      <c r="F189" s="5">
        <f t="shared" si="17"/>
        <v>171</v>
      </c>
      <c r="G189" s="5">
        <f t="shared" si="18"/>
        <v>120</v>
      </c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</row>
    <row r="190" spans="1:350" x14ac:dyDescent="0.25">
      <c r="A190" s="6" t="s">
        <v>220</v>
      </c>
      <c r="B190" t="str">
        <f t="shared" si="16"/>
        <v xml:space="preserve"> 21949</v>
      </c>
      <c r="C190" t="str">
        <f t="shared" si="19"/>
        <v>-10768</v>
      </c>
      <c r="D190" t="str">
        <f t="shared" si="20"/>
        <v>-2</v>
      </c>
      <c r="E190" t="str">
        <f t="shared" si="21"/>
        <v xml:space="preserve">  1</v>
      </c>
      <c r="F190" s="5">
        <f t="shared" si="17"/>
        <v>177</v>
      </c>
      <c r="G190" s="5">
        <f t="shared" si="18"/>
        <v>118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</row>
    <row r="191" spans="1:350" x14ac:dyDescent="0.25">
      <c r="A191" s="6" t="s">
        <v>221</v>
      </c>
      <c r="B191" t="str">
        <f t="shared" si="16"/>
        <v>-21606</v>
      </c>
      <c r="C191" t="str">
        <f t="shared" si="19"/>
        <v xml:space="preserve"> 43657</v>
      </c>
      <c r="D191" t="str">
        <f t="shared" si="20"/>
        <v xml:space="preserve"> 2</v>
      </c>
      <c r="E191" t="str">
        <f t="shared" si="21"/>
        <v xml:space="preserve"> -4</v>
      </c>
      <c r="F191" s="5">
        <f t="shared" si="17"/>
        <v>166</v>
      </c>
      <c r="G191" s="5">
        <f t="shared" si="18"/>
        <v>113</v>
      </c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</row>
    <row r="192" spans="1:350" x14ac:dyDescent="0.25">
      <c r="A192" s="6" t="s">
        <v>222</v>
      </c>
      <c r="B192" t="str">
        <f t="shared" si="16"/>
        <v>-54256</v>
      </c>
      <c r="C192" t="str">
        <f t="shared" si="19"/>
        <v>-21660</v>
      </c>
      <c r="D192" t="str">
        <f t="shared" si="20"/>
        <v xml:space="preserve"> 5</v>
      </c>
      <c r="E192" t="str">
        <f t="shared" si="21"/>
        <v xml:space="preserve">  2</v>
      </c>
      <c r="F192" s="5">
        <f t="shared" si="17"/>
        <v>174</v>
      </c>
      <c r="G192" s="5">
        <f t="shared" si="18"/>
        <v>112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</row>
    <row r="193" spans="1:350" x14ac:dyDescent="0.25">
      <c r="A193" s="6" t="s">
        <v>223</v>
      </c>
      <c r="B193" t="str">
        <f t="shared" si="16"/>
        <v>-54242</v>
      </c>
      <c r="C193" t="str">
        <f t="shared" si="19"/>
        <v>-54319</v>
      </c>
      <c r="D193" t="str">
        <f t="shared" si="20"/>
        <v xml:space="preserve"> 5</v>
      </c>
      <c r="E193" t="str">
        <f t="shared" si="21"/>
        <v xml:space="preserve">  5</v>
      </c>
      <c r="F193" s="5">
        <f t="shared" si="17"/>
        <v>188</v>
      </c>
      <c r="G193" s="5">
        <f t="shared" si="18"/>
        <v>111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</row>
    <row r="194" spans="1:350" x14ac:dyDescent="0.25">
      <c r="A194" s="6" t="s">
        <v>224</v>
      </c>
      <c r="B194" t="str">
        <f t="shared" si="16"/>
        <v xml:space="preserve"> 21985</v>
      </c>
      <c r="C194" t="str">
        <f t="shared" si="19"/>
        <v>-21661</v>
      </c>
      <c r="D194" t="str">
        <f t="shared" si="20"/>
        <v>-2</v>
      </c>
      <c r="E194" t="str">
        <f t="shared" si="21"/>
        <v xml:space="preserve">  2</v>
      </c>
      <c r="F194" s="5">
        <f t="shared" si="17"/>
        <v>213</v>
      </c>
      <c r="G194" s="5">
        <f t="shared" si="18"/>
        <v>111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</row>
    <row r="195" spans="1:350" x14ac:dyDescent="0.25">
      <c r="A195" s="6" t="s">
        <v>225</v>
      </c>
      <c r="B195" t="str">
        <f t="shared" ref="B195:B258" si="22">MID(A195,11,6)</f>
        <v>-32465</v>
      </c>
      <c r="C195" t="str">
        <f t="shared" si="19"/>
        <v>-32542</v>
      </c>
      <c r="D195" t="str">
        <f t="shared" si="20"/>
        <v xml:space="preserve"> 3</v>
      </c>
      <c r="E195" t="str">
        <f t="shared" si="21"/>
        <v xml:space="preserve">  3</v>
      </c>
      <c r="F195" s="5">
        <f t="shared" si="17"/>
        <v>193</v>
      </c>
      <c r="G195" s="5">
        <f t="shared" si="18"/>
        <v>116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</row>
    <row r="196" spans="1:350" x14ac:dyDescent="0.25">
      <c r="A196" s="6" t="s">
        <v>226</v>
      </c>
      <c r="B196" t="str">
        <f t="shared" si="22"/>
        <v>-54250</v>
      </c>
      <c r="C196" t="str">
        <f t="shared" si="19"/>
        <v>-43433</v>
      </c>
      <c r="D196" t="str">
        <f t="shared" si="20"/>
        <v xml:space="preserve"> 5</v>
      </c>
      <c r="E196" t="str">
        <f t="shared" si="21"/>
        <v xml:space="preserve">  4</v>
      </c>
      <c r="F196" s="5">
        <f t="shared" si="17"/>
        <v>180</v>
      </c>
      <c r="G196" s="5">
        <f t="shared" si="18"/>
        <v>111</v>
      </c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</row>
    <row r="197" spans="1:350" x14ac:dyDescent="0.25">
      <c r="A197" s="6" t="s">
        <v>227</v>
      </c>
      <c r="B197" t="str">
        <f t="shared" si="22"/>
        <v xml:space="preserve"> 43742</v>
      </c>
      <c r="C197" t="str">
        <f t="shared" si="19"/>
        <v xml:space="preserve"> 11005</v>
      </c>
      <c r="D197" t="str">
        <f t="shared" si="20"/>
        <v>-4</v>
      </c>
      <c r="E197" t="str">
        <f t="shared" si="21"/>
        <v xml:space="preserve"> -1</v>
      </c>
      <c r="F197" s="5">
        <f t="shared" si="17"/>
        <v>198</v>
      </c>
      <c r="G197" s="5">
        <f t="shared" si="18"/>
        <v>119</v>
      </c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</row>
    <row r="198" spans="1:350" x14ac:dyDescent="0.25">
      <c r="A198" s="6" t="s">
        <v>228</v>
      </c>
      <c r="B198" t="str">
        <f t="shared" si="22"/>
        <v>-32494</v>
      </c>
      <c r="C198" t="str">
        <f t="shared" si="19"/>
        <v>-10775</v>
      </c>
      <c r="D198" t="str">
        <f t="shared" si="20"/>
        <v xml:space="preserve"> 3</v>
      </c>
      <c r="E198" t="str">
        <f t="shared" si="21"/>
        <v xml:space="preserve">  1</v>
      </c>
      <c r="F198" s="5">
        <f t="shared" si="17"/>
        <v>164</v>
      </c>
      <c r="G198" s="5">
        <f t="shared" si="18"/>
        <v>111</v>
      </c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</row>
    <row r="199" spans="1:350" x14ac:dyDescent="0.25">
      <c r="A199" s="6" t="s">
        <v>229</v>
      </c>
      <c r="B199" t="str">
        <f t="shared" si="22"/>
        <v xml:space="preserve"> 32843</v>
      </c>
      <c r="C199" t="str">
        <f t="shared" si="19"/>
        <v xml:space="preserve"> 11004</v>
      </c>
      <c r="D199" t="str">
        <f t="shared" si="20"/>
        <v>-3</v>
      </c>
      <c r="E199" t="str">
        <f t="shared" si="21"/>
        <v xml:space="preserve"> -1</v>
      </c>
      <c r="F199" s="5">
        <f t="shared" si="17"/>
        <v>185</v>
      </c>
      <c r="G199" s="5">
        <f t="shared" si="18"/>
        <v>118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</row>
    <row r="200" spans="1:350" x14ac:dyDescent="0.25">
      <c r="A200" s="6" t="s">
        <v>230</v>
      </c>
      <c r="B200" t="str">
        <f t="shared" si="22"/>
        <v>-21586</v>
      </c>
      <c r="C200" t="str">
        <f t="shared" si="19"/>
        <v xml:space="preserve"> 43664</v>
      </c>
      <c r="D200" t="str">
        <f t="shared" si="20"/>
        <v xml:space="preserve"> 2</v>
      </c>
      <c r="E200" t="str">
        <f t="shared" si="21"/>
        <v xml:space="preserve"> -4</v>
      </c>
      <c r="F200" s="5">
        <f t="shared" si="17"/>
        <v>186</v>
      </c>
      <c r="G200" s="5">
        <f t="shared" si="18"/>
        <v>120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</row>
    <row r="201" spans="1:350" x14ac:dyDescent="0.25">
      <c r="A201" s="6" t="s">
        <v>231</v>
      </c>
      <c r="B201" t="str">
        <f t="shared" si="22"/>
        <v>-10723</v>
      </c>
      <c r="C201" t="str">
        <f t="shared" si="19"/>
        <v xml:space="preserve"> 21883</v>
      </c>
      <c r="D201" t="str">
        <f t="shared" si="20"/>
        <v xml:space="preserve"> 1</v>
      </c>
      <c r="E201" t="str">
        <f t="shared" si="21"/>
        <v xml:space="preserve"> -2</v>
      </c>
      <c r="F201" s="5">
        <f t="shared" si="17"/>
        <v>163</v>
      </c>
      <c r="G201" s="5">
        <f t="shared" si="18"/>
        <v>111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</row>
    <row r="202" spans="1:350" x14ac:dyDescent="0.25">
      <c r="A202" s="6" t="s">
        <v>232</v>
      </c>
      <c r="B202" t="str">
        <f t="shared" si="22"/>
        <v>-21552</v>
      </c>
      <c r="C202" t="str">
        <f t="shared" si="19"/>
        <v>-43433</v>
      </c>
      <c r="D202" t="str">
        <f t="shared" si="20"/>
        <v xml:space="preserve"> 2</v>
      </c>
      <c r="E202" t="str">
        <f t="shared" si="21"/>
        <v xml:space="preserve">  4</v>
      </c>
      <c r="F202" s="5">
        <f t="shared" si="17"/>
        <v>220</v>
      </c>
      <c r="G202" s="5">
        <f t="shared" si="18"/>
        <v>111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</row>
    <row r="203" spans="1:350" x14ac:dyDescent="0.25">
      <c r="A203" s="6" t="s">
        <v>233</v>
      </c>
      <c r="B203" t="str">
        <f t="shared" si="22"/>
        <v>-43358</v>
      </c>
      <c r="C203" t="str">
        <f t="shared" si="19"/>
        <v>-10775</v>
      </c>
      <c r="D203" t="str">
        <f t="shared" si="20"/>
        <v xml:space="preserve"> 4</v>
      </c>
      <c r="E203" t="str">
        <f t="shared" si="21"/>
        <v xml:space="preserve">  1</v>
      </c>
      <c r="F203" s="5">
        <f t="shared" si="17"/>
        <v>186</v>
      </c>
      <c r="G203" s="5">
        <f t="shared" si="18"/>
        <v>111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</row>
    <row r="204" spans="1:350" x14ac:dyDescent="0.25">
      <c r="A204" s="6" t="s">
        <v>234</v>
      </c>
      <c r="B204" t="str">
        <f t="shared" si="22"/>
        <v xml:space="preserve"> 32872</v>
      </c>
      <c r="C204" t="str">
        <f t="shared" si="19"/>
        <v>-10774</v>
      </c>
      <c r="D204" t="str">
        <f t="shared" si="20"/>
        <v>-3</v>
      </c>
      <c r="E204" t="str">
        <f t="shared" si="21"/>
        <v xml:space="preserve">  1</v>
      </c>
      <c r="F204" s="5">
        <f t="shared" si="17"/>
        <v>214</v>
      </c>
      <c r="G204" s="5">
        <f t="shared" si="18"/>
        <v>112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</row>
    <row r="205" spans="1:350" x14ac:dyDescent="0.25">
      <c r="A205" s="6" t="s">
        <v>235</v>
      </c>
      <c r="B205" t="str">
        <f t="shared" si="22"/>
        <v>-10680</v>
      </c>
      <c r="C205" t="str">
        <f t="shared" si="19"/>
        <v>-54312</v>
      </c>
      <c r="D205" t="str">
        <f t="shared" si="20"/>
        <v xml:space="preserve"> 1</v>
      </c>
      <c r="E205" t="str">
        <f t="shared" si="21"/>
        <v xml:space="preserve">  5</v>
      </c>
      <c r="F205" s="5">
        <f t="shared" si="17"/>
        <v>206</v>
      </c>
      <c r="G205" s="5">
        <f t="shared" si="18"/>
        <v>118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</row>
    <row r="206" spans="1:350" x14ac:dyDescent="0.25">
      <c r="A206" s="6" t="s">
        <v>236</v>
      </c>
      <c r="B206" t="str">
        <f t="shared" si="22"/>
        <v>-54237</v>
      </c>
      <c r="C206" t="str">
        <f t="shared" si="19"/>
        <v>-32545</v>
      </c>
      <c r="D206" t="str">
        <f t="shared" si="20"/>
        <v xml:space="preserve"> 5</v>
      </c>
      <c r="E206" t="str">
        <f t="shared" si="21"/>
        <v xml:space="preserve">  3</v>
      </c>
      <c r="F206" s="5">
        <f t="shared" si="17"/>
        <v>193</v>
      </c>
      <c r="G206" s="5">
        <f t="shared" si="18"/>
        <v>113</v>
      </c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</row>
    <row r="207" spans="1:350" x14ac:dyDescent="0.25">
      <c r="A207" s="6" t="s">
        <v>237</v>
      </c>
      <c r="B207" t="str">
        <f t="shared" si="22"/>
        <v xml:space="preserve"> 54651</v>
      </c>
      <c r="C207" t="str">
        <f t="shared" si="19"/>
        <v xml:space="preserve"> 10997</v>
      </c>
      <c r="D207" t="str">
        <f t="shared" si="20"/>
        <v>-5</v>
      </c>
      <c r="E207" t="str">
        <f t="shared" si="21"/>
        <v xml:space="preserve"> -1</v>
      </c>
      <c r="F207" s="5">
        <f t="shared" si="17"/>
        <v>221</v>
      </c>
      <c r="G207" s="5">
        <f t="shared" si="18"/>
        <v>111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</row>
    <row r="208" spans="1:350" x14ac:dyDescent="0.25">
      <c r="A208" s="6" t="s">
        <v>238</v>
      </c>
      <c r="B208" t="str">
        <f t="shared" si="22"/>
        <v>-32489</v>
      </c>
      <c r="C208" t="str">
        <f t="shared" si="19"/>
        <v>-43425</v>
      </c>
      <c r="D208" t="str">
        <f t="shared" si="20"/>
        <v xml:space="preserve"> 3</v>
      </c>
      <c r="E208" t="str">
        <f t="shared" si="21"/>
        <v xml:space="preserve">  4</v>
      </c>
      <c r="F208" s="5">
        <f t="shared" si="17"/>
        <v>169</v>
      </c>
      <c r="G208" s="5">
        <f t="shared" si="18"/>
        <v>119</v>
      </c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</row>
    <row r="209" spans="1:350" x14ac:dyDescent="0.25">
      <c r="A209" s="6" t="s">
        <v>239</v>
      </c>
      <c r="B209" t="str">
        <f t="shared" si="22"/>
        <v>-54243</v>
      </c>
      <c r="C209" t="str">
        <f t="shared" si="19"/>
        <v>-43429</v>
      </c>
      <c r="D209" t="str">
        <f t="shared" si="20"/>
        <v xml:space="preserve"> 5</v>
      </c>
      <c r="E209" t="str">
        <f t="shared" si="21"/>
        <v xml:space="preserve">  4</v>
      </c>
      <c r="F209" s="5">
        <f t="shared" si="17"/>
        <v>187</v>
      </c>
      <c r="G209" s="5">
        <f t="shared" si="18"/>
        <v>115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</row>
    <row r="210" spans="1:350" x14ac:dyDescent="0.25">
      <c r="A210" s="6" t="s">
        <v>240</v>
      </c>
      <c r="B210" t="str">
        <f t="shared" si="22"/>
        <v xml:space="preserve"> 54626</v>
      </c>
      <c r="C210" t="str">
        <f t="shared" si="19"/>
        <v>-54314</v>
      </c>
      <c r="D210" t="str">
        <f t="shared" si="20"/>
        <v>-5</v>
      </c>
      <c r="E210" t="str">
        <f t="shared" si="21"/>
        <v xml:space="preserve">  5</v>
      </c>
      <c r="F210" s="5">
        <f t="shared" si="17"/>
        <v>196</v>
      </c>
      <c r="G210" s="5">
        <f t="shared" si="18"/>
        <v>116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</row>
    <row r="211" spans="1:350" x14ac:dyDescent="0.25">
      <c r="A211" s="6" t="s">
        <v>241</v>
      </c>
      <c r="B211" t="str">
        <f t="shared" si="22"/>
        <v xml:space="preserve"> 11107</v>
      </c>
      <c r="C211" t="str">
        <f t="shared" si="19"/>
        <v>-21656</v>
      </c>
      <c r="D211" t="str">
        <f t="shared" si="20"/>
        <v>-1</v>
      </c>
      <c r="E211" t="str">
        <f t="shared" si="21"/>
        <v xml:space="preserve">  2</v>
      </c>
      <c r="F211" s="5">
        <f t="shared" si="17"/>
        <v>221</v>
      </c>
      <c r="G211" s="5">
        <f t="shared" si="18"/>
        <v>116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</row>
    <row r="212" spans="1:350" x14ac:dyDescent="0.25">
      <c r="A212" s="6" t="s">
        <v>242</v>
      </c>
      <c r="B212" t="str">
        <f t="shared" si="22"/>
        <v>-21575</v>
      </c>
      <c r="C212" t="str">
        <f t="shared" si="19"/>
        <v xml:space="preserve"> 10997</v>
      </c>
      <c r="D212" t="str">
        <f t="shared" si="20"/>
        <v xml:space="preserve"> 2</v>
      </c>
      <c r="E212" t="str">
        <f t="shared" si="21"/>
        <v xml:space="preserve"> -1</v>
      </c>
      <c r="F212" s="5">
        <f t="shared" si="17"/>
        <v>197</v>
      </c>
      <c r="G212" s="5">
        <f t="shared" si="18"/>
        <v>111</v>
      </c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</row>
    <row r="213" spans="1:350" x14ac:dyDescent="0.25">
      <c r="A213" s="6" t="s">
        <v>243</v>
      </c>
      <c r="B213" t="str">
        <f t="shared" si="22"/>
        <v xml:space="preserve"> 43716</v>
      </c>
      <c r="C213" t="str">
        <f t="shared" si="19"/>
        <v xml:space="preserve"> 11001</v>
      </c>
      <c r="D213" t="str">
        <f t="shared" si="20"/>
        <v>-4</v>
      </c>
      <c r="E213" t="str">
        <f t="shared" si="21"/>
        <v xml:space="preserve"> -1</v>
      </c>
      <c r="F213" s="5">
        <f t="shared" si="17"/>
        <v>172</v>
      </c>
      <c r="G213" s="5">
        <f t="shared" si="18"/>
        <v>115</v>
      </c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</row>
    <row r="214" spans="1:350" x14ac:dyDescent="0.25">
      <c r="A214" s="6" t="s">
        <v>244</v>
      </c>
      <c r="B214" t="str">
        <f t="shared" si="22"/>
        <v>-10720</v>
      </c>
      <c r="C214" t="str">
        <f t="shared" si="19"/>
        <v xml:space="preserve"> 32771</v>
      </c>
      <c r="D214" t="str">
        <f t="shared" si="20"/>
        <v xml:space="preserve"> 1</v>
      </c>
      <c r="E214" t="str">
        <f t="shared" si="21"/>
        <v xml:space="preserve"> -3</v>
      </c>
      <c r="F214" s="5">
        <f t="shared" si="17"/>
        <v>166</v>
      </c>
      <c r="G214" s="5">
        <f t="shared" si="18"/>
        <v>113</v>
      </c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</row>
    <row r="215" spans="1:350" x14ac:dyDescent="0.25">
      <c r="A215" s="6" t="s">
        <v>245</v>
      </c>
      <c r="B215" t="str">
        <f t="shared" si="22"/>
        <v xml:space="preserve"> 11092</v>
      </c>
      <c r="C215" t="str">
        <f t="shared" si="19"/>
        <v xml:space="preserve"> 43660</v>
      </c>
      <c r="D215" t="str">
        <f t="shared" si="20"/>
        <v>-1</v>
      </c>
      <c r="E215" t="str">
        <f t="shared" si="21"/>
        <v xml:space="preserve"> -4</v>
      </c>
      <c r="F215" s="5">
        <f t="shared" si="17"/>
        <v>206</v>
      </c>
      <c r="G215" s="5">
        <f t="shared" si="18"/>
        <v>116</v>
      </c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</row>
    <row r="216" spans="1:350" x14ac:dyDescent="0.25">
      <c r="A216" s="6" t="s">
        <v>246</v>
      </c>
      <c r="B216" t="str">
        <f t="shared" si="22"/>
        <v xml:space="preserve"> 54631</v>
      </c>
      <c r="C216" t="str">
        <f t="shared" si="19"/>
        <v>-21658</v>
      </c>
      <c r="D216" t="str">
        <f t="shared" si="20"/>
        <v>-5</v>
      </c>
      <c r="E216" t="str">
        <f t="shared" si="21"/>
        <v xml:space="preserve">  2</v>
      </c>
      <c r="F216" s="5">
        <f t="shared" si="17"/>
        <v>201</v>
      </c>
      <c r="G216" s="5">
        <f t="shared" si="18"/>
        <v>114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</row>
    <row r="217" spans="1:350" x14ac:dyDescent="0.25">
      <c r="A217" s="6" t="s">
        <v>247</v>
      </c>
      <c r="B217" t="str">
        <f t="shared" si="22"/>
        <v xml:space="preserve"> 11068</v>
      </c>
      <c r="C217" t="str">
        <f t="shared" si="19"/>
        <v xml:space="preserve"> 11005</v>
      </c>
      <c r="D217" t="str">
        <f t="shared" si="20"/>
        <v>-1</v>
      </c>
      <c r="E217" t="str">
        <f t="shared" si="21"/>
        <v xml:space="preserve"> -1</v>
      </c>
      <c r="F217" s="5">
        <f t="shared" si="17"/>
        <v>182</v>
      </c>
      <c r="G217" s="5">
        <f t="shared" si="18"/>
        <v>119</v>
      </c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</row>
    <row r="218" spans="1:350" x14ac:dyDescent="0.25">
      <c r="A218" s="6" t="s">
        <v>248</v>
      </c>
      <c r="B218" t="str">
        <f t="shared" si="22"/>
        <v xml:space="preserve"> 43708</v>
      </c>
      <c r="C218" t="str">
        <f t="shared" si="19"/>
        <v>-21652</v>
      </c>
      <c r="D218" t="str">
        <f t="shared" si="20"/>
        <v>-4</v>
      </c>
      <c r="E218" t="str">
        <f t="shared" si="21"/>
        <v xml:space="preserve">  2</v>
      </c>
      <c r="F218" s="5">
        <f t="shared" si="17"/>
        <v>164</v>
      </c>
      <c r="G218" s="5">
        <f t="shared" si="18"/>
        <v>120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</row>
    <row r="219" spans="1:350" x14ac:dyDescent="0.25">
      <c r="A219" s="6" t="s">
        <v>249</v>
      </c>
      <c r="B219" t="str">
        <f t="shared" si="22"/>
        <v>-10674</v>
      </c>
      <c r="C219" t="str">
        <f t="shared" si="19"/>
        <v>-32538</v>
      </c>
      <c r="D219" t="str">
        <f t="shared" si="20"/>
        <v xml:space="preserve"> 1</v>
      </c>
      <c r="E219" t="str">
        <f t="shared" si="21"/>
        <v xml:space="preserve">  3</v>
      </c>
      <c r="F219" s="5">
        <f t="shared" si="17"/>
        <v>212</v>
      </c>
      <c r="G219" s="5">
        <f t="shared" si="18"/>
        <v>120</v>
      </c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</row>
    <row r="220" spans="1:350" x14ac:dyDescent="0.25">
      <c r="A220" s="6" t="s">
        <v>250</v>
      </c>
      <c r="B220" t="str">
        <f t="shared" si="22"/>
        <v xml:space="preserve"> 11051</v>
      </c>
      <c r="C220" t="str">
        <f t="shared" si="19"/>
        <v xml:space="preserve"> 11006</v>
      </c>
      <c r="D220" t="str">
        <f t="shared" si="20"/>
        <v>-1</v>
      </c>
      <c r="E220" t="str">
        <f t="shared" si="21"/>
        <v xml:space="preserve"> -1</v>
      </c>
      <c r="F220" s="5">
        <f t="shared" si="17"/>
        <v>165</v>
      </c>
      <c r="G220" s="5">
        <f t="shared" si="18"/>
        <v>120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</row>
    <row r="221" spans="1:350" x14ac:dyDescent="0.25">
      <c r="A221" s="6" t="s">
        <v>251</v>
      </c>
      <c r="B221" t="str">
        <f t="shared" si="22"/>
        <v xml:space="preserve"> 11063</v>
      </c>
      <c r="C221" t="str">
        <f t="shared" si="19"/>
        <v>-54316</v>
      </c>
      <c r="D221" t="str">
        <f t="shared" si="20"/>
        <v>-1</v>
      </c>
      <c r="E221" t="str">
        <f t="shared" si="21"/>
        <v xml:space="preserve">  5</v>
      </c>
      <c r="F221" s="5">
        <f t="shared" si="17"/>
        <v>177</v>
      </c>
      <c r="G221" s="5">
        <f t="shared" si="18"/>
        <v>114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</row>
    <row r="222" spans="1:350" x14ac:dyDescent="0.25">
      <c r="A222" s="6" t="s">
        <v>252</v>
      </c>
      <c r="B222" t="str">
        <f t="shared" si="22"/>
        <v xml:space="preserve"> 11056</v>
      </c>
      <c r="C222" t="str">
        <f t="shared" si="19"/>
        <v xml:space="preserve"> 32769</v>
      </c>
      <c r="D222" t="str">
        <f t="shared" si="20"/>
        <v>-1</v>
      </c>
      <c r="E222" t="str">
        <f t="shared" si="21"/>
        <v xml:space="preserve"> -3</v>
      </c>
      <c r="F222" s="5">
        <f t="shared" si="17"/>
        <v>170</v>
      </c>
      <c r="G222" s="5">
        <f t="shared" si="18"/>
        <v>111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</row>
    <row r="223" spans="1:350" x14ac:dyDescent="0.25">
      <c r="A223" s="6" t="s">
        <v>253</v>
      </c>
      <c r="B223" t="str">
        <f t="shared" si="22"/>
        <v>-21587</v>
      </c>
      <c r="C223" t="str">
        <f t="shared" si="19"/>
        <v xml:space="preserve"> 21884</v>
      </c>
      <c r="D223" t="str">
        <f t="shared" si="20"/>
        <v xml:space="preserve"> 2</v>
      </c>
      <c r="E223" t="str">
        <f t="shared" si="21"/>
        <v xml:space="preserve"> -2</v>
      </c>
      <c r="F223" s="5">
        <f t="shared" si="17"/>
        <v>185</v>
      </c>
      <c r="G223" s="5">
        <f t="shared" si="18"/>
        <v>112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</row>
    <row r="224" spans="1:350" x14ac:dyDescent="0.25">
      <c r="A224" s="6" t="s">
        <v>254</v>
      </c>
      <c r="B224" t="str">
        <f t="shared" si="22"/>
        <v xml:space="preserve"> 11082</v>
      </c>
      <c r="C224" t="str">
        <f t="shared" si="19"/>
        <v xml:space="preserve"> 43660</v>
      </c>
      <c r="D224" t="str">
        <f t="shared" si="20"/>
        <v>-1</v>
      </c>
      <c r="E224" t="str">
        <f t="shared" si="21"/>
        <v xml:space="preserve"> -4</v>
      </c>
      <c r="F224" s="5">
        <f t="shared" si="17"/>
        <v>196</v>
      </c>
      <c r="G224" s="5">
        <f t="shared" si="18"/>
        <v>116</v>
      </c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</row>
    <row r="225" spans="1:350" x14ac:dyDescent="0.25">
      <c r="A225" s="6" t="s">
        <v>255</v>
      </c>
      <c r="B225" t="str">
        <f t="shared" si="22"/>
        <v xml:space="preserve"> 43726</v>
      </c>
      <c r="C225" t="str">
        <f t="shared" si="19"/>
        <v xml:space="preserve"> 43663</v>
      </c>
      <c r="D225" t="str">
        <f t="shared" si="20"/>
        <v>-4</v>
      </c>
      <c r="E225" t="str">
        <f t="shared" si="21"/>
        <v xml:space="preserve"> -4</v>
      </c>
      <c r="F225" s="5">
        <f t="shared" ref="F225:F288" si="23">B225+(D225*$I$1)</f>
        <v>182</v>
      </c>
      <c r="G225" s="5">
        <f t="shared" ref="G225:G288" si="24">C225+(E225*$I$1)</f>
        <v>119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</row>
    <row r="226" spans="1:350" x14ac:dyDescent="0.25">
      <c r="A226" s="6" t="s">
        <v>256</v>
      </c>
      <c r="B226" t="str">
        <f t="shared" si="22"/>
        <v xml:space="preserve"> 54633</v>
      </c>
      <c r="C226" t="str">
        <f t="shared" ref="C226:C289" si="25">MID(A226,19,6)</f>
        <v xml:space="preserve"> 54550</v>
      </c>
      <c r="D226" t="str">
        <f t="shared" ref="D226:D289" si="26">MID(A226,37,2)</f>
        <v>-5</v>
      </c>
      <c r="E226" t="str">
        <f t="shared" ref="E226:E289" si="27">MID(A226,40,3)</f>
        <v xml:space="preserve"> -5</v>
      </c>
      <c r="F226" s="5">
        <f t="shared" si="23"/>
        <v>203</v>
      </c>
      <c r="G226" s="5">
        <f t="shared" si="24"/>
        <v>120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</row>
    <row r="227" spans="1:350" x14ac:dyDescent="0.25">
      <c r="A227" s="6" t="s">
        <v>257</v>
      </c>
      <c r="B227" t="str">
        <f t="shared" si="22"/>
        <v xml:space="preserve"> 11071</v>
      </c>
      <c r="C227" t="str">
        <f t="shared" si="25"/>
        <v xml:space="preserve"> 43663</v>
      </c>
      <c r="D227" t="str">
        <f t="shared" si="26"/>
        <v>-1</v>
      </c>
      <c r="E227" t="str">
        <f t="shared" si="27"/>
        <v xml:space="preserve"> -4</v>
      </c>
      <c r="F227" s="5">
        <f t="shared" si="23"/>
        <v>185</v>
      </c>
      <c r="G227" s="5">
        <f t="shared" si="24"/>
        <v>119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</row>
    <row r="228" spans="1:350" x14ac:dyDescent="0.25">
      <c r="A228" s="6" t="s">
        <v>258</v>
      </c>
      <c r="B228" t="str">
        <f t="shared" si="22"/>
        <v>-43367</v>
      </c>
      <c r="C228" t="str">
        <f t="shared" si="25"/>
        <v xml:space="preserve"> 43660</v>
      </c>
      <c r="D228" t="str">
        <f t="shared" si="26"/>
        <v xml:space="preserve"> 4</v>
      </c>
      <c r="E228" t="str">
        <f t="shared" si="27"/>
        <v xml:space="preserve"> -4</v>
      </c>
      <c r="F228" s="5">
        <f t="shared" si="23"/>
        <v>177</v>
      </c>
      <c r="G228" s="5">
        <f t="shared" si="24"/>
        <v>116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</row>
    <row r="229" spans="1:350" x14ac:dyDescent="0.25">
      <c r="A229" s="6" t="s">
        <v>259</v>
      </c>
      <c r="B229" t="str">
        <f t="shared" si="22"/>
        <v>-21563</v>
      </c>
      <c r="C229" t="str">
        <f t="shared" si="25"/>
        <v xml:space="preserve"> 11004</v>
      </c>
      <c r="D229" t="str">
        <f t="shared" si="26"/>
        <v xml:space="preserve"> 2</v>
      </c>
      <c r="E229" t="str">
        <f t="shared" si="27"/>
        <v xml:space="preserve"> -1</v>
      </c>
      <c r="F229" s="5">
        <f t="shared" si="23"/>
        <v>209</v>
      </c>
      <c r="G229" s="5">
        <f t="shared" si="24"/>
        <v>118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</row>
    <row r="230" spans="1:350" x14ac:dyDescent="0.25">
      <c r="A230" s="6" t="s">
        <v>260</v>
      </c>
      <c r="B230" t="str">
        <f t="shared" si="22"/>
        <v xml:space="preserve"> 54639</v>
      </c>
      <c r="C230" t="str">
        <f t="shared" si="25"/>
        <v xml:space="preserve"> 54542</v>
      </c>
      <c r="D230" t="str">
        <f t="shared" si="26"/>
        <v>-5</v>
      </c>
      <c r="E230" t="str">
        <f t="shared" si="27"/>
        <v xml:space="preserve"> -5</v>
      </c>
      <c r="F230" s="5">
        <f t="shared" si="23"/>
        <v>209</v>
      </c>
      <c r="G230" s="5">
        <f t="shared" si="24"/>
        <v>112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</row>
    <row r="231" spans="1:350" x14ac:dyDescent="0.25">
      <c r="A231" s="6" t="s">
        <v>261</v>
      </c>
      <c r="B231" t="str">
        <f t="shared" si="22"/>
        <v xml:space="preserve"> 32848</v>
      </c>
      <c r="C231" t="str">
        <f t="shared" si="25"/>
        <v>-32541</v>
      </c>
      <c r="D231" t="str">
        <f t="shared" si="26"/>
        <v>-3</v>
      </c>
      <c r="E231" t="str">
        <f t="shared" si="27"/>
        <v xml:space="preserve">  3</v>
      </c>
      <c r="F231" s="5">
        <f t="shared" si="23"/>
        <v>190</v>
      </c>
      <c r="G231" s="5">
        <f t="shared" si="24"/>
        <v>117</v>
      </c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</row>
    <row r="232" spans="1:350" x14ac:dyDescent="0.25">
      <c r="A232" s="6" t="s">
        <v>262</v>
      </c>
      <c r="B232" t="str">
        <f t="shared" si="22"/>
        <v>-54209</v>
      </c>
      <c r="C232" t="str">
        <f t="shared" si="25"/>
        <v xml:space="preserve"> 54543</v>
      </c>
      <c r="D232" t="str">
        <f t="shared" si="26"/>
        <v xml:space="preserve"> 5</v>
      </c>
      <c r="E232" t="str">
        <f t="shared" si="27"/>
        <v xml:space="preserve"> -5</v>
      </c>
      <c r="F232" s="5">
        <f t="shared" si="23"/>
        <v>221</v>
      </c>
      <c r="G232" s="5">
        <f t="shared" si="24"/>
        <v>113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</row>
    <row r="233" spans="1:350" x14ac:dyDescent="0.25">
      <c r="A233" s="6" t="s">
        <v>263</v>
      </c>
      <c r="B233" t="str">
        <f t="shared" si="22"/>
        <v>-43370</v>
      </c>
      <c r="C233" t="str">
        <f t="shared" si="25"/>
        <v xml:space="preserve"> 21892</v>
      </c>
      <c r="D233" t="str">
        <f t="shared" si="26"/>
        <v xml:space="preserve"> 4</v>
      </c>
      <c r="E233" t="str">
        <f t="shared" si="27"/>
        <v xml:space="preserve"> -2</v>
      </c>
      <c r="F233" s="5">
        <f t="shared" si="23"/>
        <v>174</v>
      </c>
      <c r="G233" s="5">
        <f t="shared" si="24"/>
        <v>120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</row>
    <row r="234" spans="1:350" x14ac:dyDescent="0.25">
      <c r="A234" s="6" t="s">
        <v>264</v>
      </c>
      <c r="B234" t="str">
        <f t="shared" si="22"/>
        <v xml:space="preserve"> 54627</v>
      </c>
      <c r="C234" t="str">
        <f t="shared" si="25"/>
        <v>-21661</v>
      </c>
      <c r="D234" t="str">
        <f t="shared" si="26"/>
        <v>-5</v>
      </c>
      <c r="E234" t="str">
        <f t="shared" si="27"/>
        <v xml:space="preserve">  2</v>
      </c>
      <c r="F234" s="5">
        <f t="shared" si="23"/>
        <v>197</v>
      </c>
      <c r="G234" s="5">
        <f t="shared" si="24"/>
        <v>111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</row>
    <row r="235" spans="1:350" x14ac:dyDescent="0.25">
      <c r="A235" s="6" t="s">
        <v>265</v>
      </c>
      <c r="B235" t="str">
        <f t="shared" si="22"/>
        <v xml:space="preserve"> 54612</v>
      </c>
      <c r="C235" t="str">
        <f t="shared" si="25"/>
        <v xml:space="preserve"> 54542</v>
      </c>
      <c r="D235" t="str">
        <f t="shared" si="26"/>
        <v>-5</v>
      </c>
      <c r="E235" t="str">
        <f t="shared" si="27"/>
        <v xml:space="preserve"> -5</v>
      </c>
      <c r="F235" s="5">
        <f t="shared" si="23"/>
        <v>182</v>
      </c>
      <c r="G235" s="5">
        <f t="shared" si="24"/>
        <v>112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</row>
    <row r="236" spans="1:350" x14ac:dyDescent="0.25">
      <c r="A236" s="6" t="s">
        <v>266</v>
      </c>
      <c r="B236" t="str">
        <f t="shared" si="22"/>
        <v xml:space="preserve"> 11103</v>
      </c>
      <c r="C236" t="str">
        <f t="shared" si="25"/>
        <v xml:space="preserve"> 43663</v>
      </c>
      <c r="D236" t="str">
        <f t="shared" si="26"/>
        <v>-1</v>
      </c>
      <c r="E236" t="str">
        <f t="shared" si="27"/>
        <v xml:space="preserve"> -4</v>
      </c>
      <c r="F236" s="5">
        <f t="shared" si="23"/>
        <v>217</v>
      </c>
      <c r="G236" s="5">
        <f t="shared" si="24"/>
        <v>119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</row>
    <row r="237" spans="1:350" x14ac:dyDescent="0.25">
      <c r="A237" s="6" t="s">
        <v>267</v>
      </c>
      <c r="B237" t="str">
        <f t="shared" si="22"/>
        <v xml:space="preserve"> 32876</v>
      </c>
      <c r="C237" t="str">
        <f t="shared" si="25"/>
        <v xml:space="preserve"> 21892</v>
      </c>
      <c r="D237" t="str">
        <f t="shared" si="26"/>
        <v>-3</v>
      </c>
      <c r="E237" t="str">
        <f t="shared" si="27"/>
        <v xml:space="preserve"> -2</v>
      </c>
      <c r="F237" s="5">
        <f t="shared" si="23"/>
        <v>218</v>
      </c>
      <c r="G237" s="5">
        <f t="shared" si="24"/>
        <v>120</v>
      </c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</row>
    <row r="238" spans="1:350" x14ac:dyDescent="0.25">
      <c r="A238" s="6" t="s">
        <v>268</v>
      </c>
      <c r="B238" t="str">
        <f t="shared" si="22"/>
        <v xml:space="preserve"> 21978</v>
      </c>
      <c r="C238" t="str">
        <f t="shared" si="25"/>
        <v>-21660</v>
      </c>
      <c r="D238" t="str">
        <f t="shared" si="26"/>
        <v>-2</v>
      </c>
      <c r="E238" t="str">
        <f t="shared" si="27"/>
        <v xml:space="preserve">  2</v>
      </c>
      <c r="F238" s="5">
        <f t="shared" si="23"/>
        <v>206</v>
      </c>
      <c r="G238" s="5">
        <f t="shared" si="24"/>
        <v>112</v>
      </c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</row>
    <row r="239" spans="1:350" x14ac:dyDescent="0.25">
      <c r="A239" s="6" t="s">
        <v>269</v>
      </c>
      <c r="B239" t="str">
        <f t="shared" si="22"/>
        <v xml:space="preserve"> 54592</v>
      </c>
      <c r="C239" t="str">
        <f t="shared" si="25"/>
        <v xml:space="preserve"> 54547</v>
      </c>
      <c r="D239" t="str">
        <f t="shared" si="26"/>
        <v>-5</v>
      </c>
      <c r="E239" t="str">
        <f t="shared" si="27"/>
        <v xml:space="preserve"> -5</v>
      </c>
      <c r="F239" s="5">
        <f t="shared" si="23"/>
        <v>162</v>
      </c>
      <c r="G239" s="5">
        <f t="shared" si="24"/>
        <v>117</v>
      </c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</row>
    <row r="240" spans="1:350" x14ac:dyDescent="0.25">
      <c r="A240" s="6" t="s">
        <v>270</v>
      </c>
      <c r="B240" t="str">
        <f t="shared" si="22"/>
        <v>-43354</v>
      </c>
      <c r="C240" t="str">
        <f t="shared" si="25"/>
        <v>-43428</v>
      </c>
      <c r="D240" t="str">
        <f t="shared" si="26"/>
        <v xml:space="preserve"> 4</v>
      </c>
      <c r="E240" t="str">
        <f t="shared" si="27"/>
        <v xml:space="preserve">  4</v>
      </c>
      <c r="F240" s="5">
        <f t="shared" si="23"/>
        <v>190</v>
      </c>
      <c r="G240" s="5">
        <f t="shared" si="24"/>
        <v>116</v>
      </c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</row>
    <row r="241" spans="1:350" x14ac:dyDescent="0.25">
      <c r="A241" s="6" t="s">
        <v>271</v>
      </c>
      <c r="B241" t="str">
        <f t="shared" si="22"/>
        <v xml:space="preserve"> 54615</v>
      </c>
      <c r="C241" t="str">
        <f t="shared" si="25"/>
        <v xml:space="preserve"> 11001</v>
      </c>
      <c r="D241" t="str">
        <f t="shared" si="26"/>
        <v>-5</v>
      </c>
      <c r="E241" t="str">
        <f t="shared" si="27"/>
        <v xml:space="preserve"> -1</v>
      </c>
      <c r="F241" s="5">
        <f t="shared" si="23"/>
        <v>185</v>
      </c>
      <c r="G241" s="5">
        <f t="shared" si="24"/>
        <v>115</v>
      </c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</row>
    <row r="242" spans="1:350" x14ac:dyDescent="0.25">
      <c r="A242" s="6" t="s">
        <v>272</v>
      </c>
      <c r="B242" t="str">
        <f t="shared" si="22"/>
        <v>-10665</v>
      </c>
      <c r="C242" t="str">
        <f t="shared" si="25"/>
        <v>-43430</v>
      </c>
      <c r="D242" t="str">
        <f t="shared" si="26"/>
        <v xml:space="preserve"> 1</v>
      </c>
      <c r="E242" t="str">
        <f t="shared" si="27"/>
        <v xml:space="preserve">  4</v>
      </c>
      <c r="F242" s="5">
        <f t="shared" si="23"/>
        <v>221</v>
      </c>
      <c r="G242" s="5">
        <f t="shared" si="24"/>
        <v>114</v>
      </c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</row>
    <row r="243" spans="1:350" x14ac:dyDescent="0.25">
      <c r="A243" s="6" t="s">
        <v>273</v>
      </c>
      <c r="B243" t="str">
        <f t="shared" si="22"/>
        <v>-21566</v>
      </c>
      <c r="C243" t="str">
        <f t="shared" si="25"/>
        <v>-10766</v>
      </c>
      <c r="D243" t="str">
        <f t="shared" si="26"/>
        <v xml:space="preserve"> 2</v>
      </c>
      <c r="E243" t="str">
        <f t="shared" si="27"/>
        <v xml:space="preserve">  1</v>
      </c>
      <c r="F243" s="5">
        <f t="shared" si="23"/>
        <v>206</v>
      </c>
      <c r="G243" s="5">
        <f t="shared" si="24"/>
        <v>120</v>
      </c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</row>
    <row r="244" spans="1:350" x14ac:dyDescent="0.25">
      <c r="A244" s="6" t="s">
        <v>274</v>
      </c>
      <c r="B244" t="str">
        <f t="shared" si="22"/>
        <v xml:space="preserve"> 43753</v>
      </c>
      <c r="C244" t="str">
        <f t="shared" si="25"/>
        <v>-43431</v>
      </c>
      <c r="D244" t="str">
        <f t="shared" si="26"/>
        <v>-4</v>
      </c>
      <c r="E244" t="str">
        <f t="shared" si="27"/>
        <v xml:space="preserve">  4</v>
      </c>
      <c r="F244" s="5">
        <f t="shared" si="23"/>
        <v>209</v>
      </c>
      <c r="G244" s="5">
        <f t="shared" si="24"/>
        <v>113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</row>
    <row r="245" spans="1:350" x14ac:dyDescent="0.25">
      <c r="A245" s="6" t="s">
        <v>275</v>
      </c>
      <c r="B245" t="str">
        <f t="shared" si="22"/>
        <v xml:space="preserve"> 43739</v>
      </c>
      <c r="C245" t="str">
        <f t="shared" si="25"/>
        <v>-32547</v>
      </c>
      <c r="D245" t="str">
        <f t="shared" si="26"/>
        <v>-4</v>
      </c>
      <c r="E245" t="str">
        <f t="shared" si="27"/>
        <v xml:space="preserve">  3</v>
      </c>
      <c r="F245" s="5">
        <f t="shared" si="23"/>
        <v>195</v>
      </c>
      <c r="G245" s="5">
        <f t="shared" si="24"/>
        <v>111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</row>
    <row r="246" spans="1:350" x14ac:dyDescent="0.25">
      <c r="A246" s="6" t="s">
        <v>276</v>
      </c>
      <c r="B246" t="str">
        <f t="shared" si="22"/>
        <v>-43354</v>
      </c>
      <c r="C246" t="str">
        <f t="shared" si="25"/>
        <v>-43425</v>
      </c>
      <c r="D246" t="str">
        <f t="shared" si="26"/>
        <v xml:space="preserve"> 4</v>
      </c>
      <c r="E246" t="str">
        <f t="shared" si="27"/>
        <v xml:space="preserve">  4</v>
      </c>
      <c r="F246" s="5">
        <f t="shared" si="23"/>
        <v>190</v>
      </c>
      <c r="G246" s="5">
        <f t="shared" si="24"/>
        <v>119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</row>
    <row r="247" spans="1:350" x14ac:dyDescent="0.25">
      <c r="A247" s="6" t="s">
        <v>277</v>
      </c>
      <c r="B247" t="str">
        <f t="shared" si="22"/>
        <v>-10669</v>
      </c>
      <c r="C247" t="str">
        <f t="shared" si="25"/>
        <v>-21654</v>
      </c>
      <c r="D247" t="str">
        <f t="shared" si="26"/>
        <v xml:space="preserve"> 1</v>
      </c>
      <c r="E247" t="str">
        <f t="shared" si="27"/>
        <v xml:space="preserve">  2</v>
      </c>
      <c r="F247" s="5">
        <f t="shared" si="23"/>
        <v>217</v>
      </c>
      <c r="G247" s="5">
        <f t="shared" si="24"/>
        <v>118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</row>
    <row r="248" spans="1:350" x14ac:dyDescent="0.25">
      <c r="A248" s="6" t="s">
        <v>278</v>
      </c>
      <c r="B248" t="str">
        <f t="shared" si="22"/>
        <v xml:space="preserve"> 54644</v>
      </c>
      <c r="C248" t="str">
        <f t="shared" si="25"/>
        <v>-10767</v>
      </c>
      <c r="D248" t="str">
        <f t="shared" si="26"/>
        <v>-5</v>
      </c>
      <c r="E248" t="str">
        <f t="shared" si="27"/>
        <v xml:space="preserve">  1</v>
      </c>
      <c r="F248" s="5">
        <f t="shared" si="23"/>
        <v>214</v>
      </c>
      <c r="G248" s="5">
        <f t="shared" si="24"/>
        <v>119</v>
      </c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</row>
    <row r="249" spans="1:350" x14ac:dyDescent="0.25">
      <c r="A249" s="6" t="s">
        <v>279</v>
      </c>
      <c r="B249" t="str">
        <f t="shared" si="22"/>
        <v xml:space="preserve"> 54612</v>
      </c>
      <c r="C249" t="str">
        <f t="shared" si="25"/>
        <v>-43432</v>
      </c>
      <c r="D249" t="str">
        <f t="shared" si="26"/>
        <v>-5</v>
      </c>
      <c r="E249" t="str">
        <f t="shared" si="27"/>
        <v xml:space="preserve">  4</v>
      </c>
      <c r="F249" s="5">
        <f t="shared" si="23"/>
        <v>182</v>
      </c>
      <c r="G249" s="5">
        <f t="shared" si="24"/>
        <v>112</v>
      </c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</row>
    <row r="250" spans="1:350" x14ac:dyDescent="0.25">
      <c r="A250" s="6" t="s">
        <v>280</v>
      </c>
      <c r="B250" t="str">
        <f t="shared" si="22"/>
        <v xml:space="preserve"> 32829</v>
      </c>
      <c r="C250" t="str">
        <f t="shared" si="25"/>
        <v xml:space="preserve"> 54546</v>
      </c>
      <c r="D250" t="str">
        <f t="shared" si="26"/>
        <v>-3</v>
      </c>
      <c r="E250" t="str">
        <f t="shared" si="27"/>
        <v xml:space="preserve"> -5</v>
      </c>
      <c r="F250" s="5">
        <f t="shared" si="23"/>
        <v>171</v>
      </c>
      <c r="G250" s="5">
        <f t="shared" si="24"/>
        <v>116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</row>
    <row r="251" spans="1:350" x14ac:dyDescent="0.25">
      <c r="A251" s="6" t="s">
        <v>281</v>
      </c>
      <c r="B251" t="str">
        <f t="shared" si="22"/>
        <v xml:space="preserve"> 54594</v>
      </c>
      <c r="C251" t="str">
        <f t="shared" si="25"/>
        <v>-10766</v>
      </c>
      <c r="D251" t="str">
        <f t="shared" si="26"/>
        <v>-5</v>
      </c>
      <c r="E251" t="str">
        <f t="shared" si="27"/>
        <v xml:space="preserve">  1</v>
      </c>
      <c r="F251" s="5">
        <f t="shared" si="23"/>
        <v>164</v>
      </c>
      <c r="G251" s="5">
        <f t="shared" si="24"/>
        <v>120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</row>
    <row r="252" spans="1:350" x14ac:dyDescent="0.25">
      <c r="A252" s="6" t="s">
        <v>282</v>
      </c>
      <c r="B252" t="str">
        <f t="shared" si="22"/>
        <v xml:space="preserve"> 54626</v>
      </c>
      <c r="C252" t="str">
        <f t="shared" si="25"/>
        <v>-32547</v>
      </c>
      <c r="D252" t="str">
        <f t="shared" si="26"/>
        <v>-5</v>
      </c>
      <c r="E252" t="str">
        <f t="shared" si="27"/>
        <v xml:space="preserve">  3</v>
      </c>
      <c r="F252" s="5">
        <f t="shared" si="23"/>
        <v>196</v>
      </c>
      <c r="G252" s="5">
        <f t="shared" si="24"/>
        <v>111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</row>
    <row r="253" spans="1:350" x14ac:dyDescent="0.25">
      <c r="A253" s="6" t="s">
        <v>283</v>
      </c>
      <c r="B253" t="str">
        <f t="shared" si="22"/>
        <v>-32441</v>
      </c>
      <c r="C253" t="str">
        <f t="shared" si="25"/>
        <v xml:space="preserve"> 11004</v>
      </c>
      <c r="D253" t="str">
        <f t="shared" si="26"/>
        <v xml:space="preserve"> 3</v>
      </c>
      <c r="E253" t="str">
        <f t="shared" si="27"/>
        <v xml:space="preserve"> -1</v>
      </c>
      <c r="F253" s="5">
        <f t="shared" si="23"/>
        <v>217</v>
      </c>
      <c r="G253" s="5">
        <f t="shared" si="24"/>
        <v>118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</row>
    <row r="254" spans="1:350" x14ac:dyDescent="0.25">
      <c r="A254" s="6" t="s">
        <v>284</v>
      </c>
      <c r="B254" t="str">
        <f t="shared" si="22"/>
        <v xml:space="preserve"> 43738</v>
      </c>
      <c r="C254" t="str">
        <f t="shared" si="25"/>
        <v xml:space="preserve"> 11006</v>
      </c>
      <c r="D254" t="str">
        <f t="shared" si="26"/>
        <v>-4</v>
      </c>
      <c r="E254" t="str">
        <f t="shared" si="27"/>
        <v xml:space="preserve"> -1</v>
      </c>
      <c r="F254" s="5">
        <f t="shared" si="23"/>
        <v>194</v>
      </c>
      <c r="G254" s="5">
        <f t="shared" si="24"/>
        <v>120</v>
      </c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</row>
    <row r="255" spans="1:350" x14ac:dyDescent="0.25">
      <c r="A255" s="6" t="s">
        <v>285</v>
      </c>
      <c r="B255" t="str">
        <f t="shared" si="22"/>
        <v>-43351</v>
      </c>
      <c r="C255" t="str">
        <f t="shared" si="25"/>
        <v>-32541</v>
      </c>
      <c r="D255" t="str">
        <f t="shared" si="26"/>
        <v xml:space="preserve"> 4</v>
      </c>
      <c r="E255" t="str">
        <f t="shared" si="27"/>
        <v xml:space="preserve">  3</v>
      </c>
      <c r="F255" s="5">
        <f t="shared" si="23"/>
        <v>193</v>
      </c>
      <c r="G255" s="5">
        <f t="shared" si="24"/>
        <v>117</v>
      </c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</row>
    <row r="256" spans="1:350" x14ac:dyDescent="0.25">
      <c r="A256" s="6" t="s">
        <v>286</v>
      </c>
      <c r="B256" t="str">
        <f t="shared" si="22"/>
        <v xml:space="preserve"> 43732</v>
      </c>
      <c r="C256" t="str">
        <f t="shared" si="25"/>
        <v>-10766</v>
      </c>
      <c r="D256" t="str">
        <f t="shared" si="26"/>
        <v>-4</v>
      </c>
      <c r="E256" t="str">
        <f t="shared" si="27"/>
        <v xml:space="preserve">  1</v>
      </c>
      <c r="F256" s="5">
        <f t="shared" si="23"/>
        <v>188</v>
      </c>
      <c r="G256" s="5">
        <f t="shared" si="24"/>
        <v>120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</row>
    <row r="257" spans="1:350" x14ac:dyDescent="0.25">
      <c r="A257" s="6" t="s">
        <v>287</v>
      </c>
      <c r="B257" t="str">
        <f t="shared" si="22"/>
        <v xml:space="preserve"> 43749</v>
      </c>
      <c r="C257" t="str">
        <f t="shared" si="25"/>
        <v xml:space="preserve"> 32777</v>
      </c>
      <c r="D257" t="str">
        <f t="shared" si="26"/>
        <v>-4</v>
      </c>
      <c r="E257" t="str">
        <f t="shared" si="27"/>
        <v xml:space="preserve"> -3</v>
      </c>
      <c r="F257" s="5">
        <f t="shared" si="23"/>
        <v>205</v>
      </c>
      <c r="G257" s="5">
        <f t="shared" si="24"/>
        <v>119</v>
      </c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</row>
    <row r="258" spans="1:350" x14ac:dyDescent="0.25">
      <c r="A258" s="6" t="s">
        <v>288</v>
      </c>
      <c r="B258" t="str">
        <f t="shared" si="22"/>
        <v>-32460</v>
      </c>
      <c r="C258" t="str">
        <f t="shared" si="25"/>
        <v>-21656</v>
      </c>
      <c r="D258" t="str">
        <f t="shared" si="26"/>
        <v xml:space="preserve"> 3</v>
      </c>
      <c r="E258" t="str">
        <f t="shared" si="27"/>
        <v xml:space="preserve">  2</v>
      </c>
      <c r="F258" s="5">
        <f t="shared" si="23"/>
        <v>198</v>
      </c>
      <c r="G258" s="5">
        <f t="shared" si="24"/>
        <v>116</v>
      </c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</row>
    <row r="259" spans="1:350" x14ac:dyDescent="0.25">
      <c r="A259" s="6" t="s">
        <v>289</v>
      </c>
      <c r="B259" t="str">
        <f t="shared" ref="B259:B322" si="28">MID(A259,11,6)</f>
        <v xml:space="preserve"> 54628</v>
      </c>
      <c r="C259" t="str">
        <f t="shared" si="25"/>
        <v xml:space="preserve"> 10998</v>
      </c>
      <c r="D259" t="str">
        <f t="shared" si="26"/>
        <v>-5</v>
      </c>
      <c r="E259" t="str">
        <f t="shared" si="27"/>
        <v xml:space="preserve"> -1</v>
      </c>
      <c r="F259" s="5">
        <f t="shared" si="23"/>
        <v>198</v>
      </c>
      <c r="G259" s="5">
        <f t="shared" si="24"/>
        <v>112</v>
      </c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</row>
    <row r="260" spans="1:350" x14ac:dyDescent="0.25">
      <c r="A260" s="6" t="s">
        <v>290</v>
      </c>
      <c r="B260" t="str">
        <f t="shared" si="28"/>
        <v xml:space="preserve"> 21949</v>
      </c>
      <c r="C260" t="str">
        <f t="shared" si="25"/>
        <v xml:space="preserve"> 32777</v>
      </c>
      <c r="D260" t="str">
        <f t="shared" si="26"/>
        <v>-2</v>
      </c>
      <c r="E260" t="str">
        <f t="shared" si="27"/>
        <v xml:space="preserve"> -3</v>
      </c>
      <c r="F260" s="5">
        <f t="shared" si="23"/>
        <v>177</v>
      </c>
      <c r="G260" s="5">
        <f t="shared" si="24"/>
        <v>119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</row>
    <row r="261" spans="1:350" x14ac:dyDescent="0.25">
      <c r="A261" s="6" t="s">
        <v>291</v>
      </c>
      <c r="B261" t="str">
        <f t="shared" si="28"/>
        <v>-43370</v>
      </c>
      <c r="C261" t="str">
        <f t="shared" si="25"/>
        <v>-21661</v>
      </c>
      <c r="D261" t="str">
        <f t="shared" si="26"/>
        <v xml:space="preserve"> 4</v>
      </c>
      <c r="E261" t="str">
        <f t="shared" si="27"/>
        <v xml:space="preserve">  2</v>
      </c>
      <c r="F261" s="5">
        <f t="shared" si="23"/>
        <v>174</v>
      </c>
      <c r="G261" s="5">
        <f t="shared" si="24"/>
        <v>111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</row>
    <row r="262" spans="1:350" x14ac:dyDescent="0.25">
      <c r="A262" s="6" t="s">
        <v>292</v>
      </c>
      <c r="B262" t="str">
        <f t="shared" si="28"/>
        <v>-10682</v>
      </c>
      <c r="C262" t="str">
        <f t="shared" si="25"/>
        <v>-43433</v>
      </c>
      <c r="D262" t="str">
        <f t="shared" si="26"/>
        <v xml:space="preserve"> 1</v>
      </c>
      <c r="E262" t="str">
        <f t="shared" si="27"/>
        <v xml:space="preserve">  4</v>
      </c>
      <c r="F262" s="5">
        <f t="shared" si="23"/>
        <v>204</v>
      </c>
      <c r="G262" s="5">
        <f t="shared" si="24"/>
        <v>111</v>
      </c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</row>
    <row r="263" spans="1:350" x14ac:dyDescent="0.25">
      <c r="A263" s="6" t="s">
        <v>293</v>
      </c>
      <c r="B263" t="str">
        <f t="shared" si="28"/>
        <v>-32441</v>
      </c>
      <c r="C263" t="str">
        <f t="shared" si="25"/>
        <v>-10767</v>
      </c>
      <c r="D263" t="str">
        <f t="shared" si="26"/>
        <v xml:space="preserve"> 3</v>
      </c>
      <c r="E263" t="str">
        <f t="shared" si="27"/>
        <v xml:space="preserve">  1</v>
      </c>
      <c r="F263" s="5">
        <f t="shared" si="23"/>
        <v>217</v>
      </c>
      <c r="G263" s="5">
        <f t="shared" si="24"/>
        <v>119</v>
      </c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</row>
    <row r="264" spans="1:350" x14ac:dyDescent="0.25">
      <c r="A264" s="6" t="s">
        <v>294</v>
      </c>
      <c r="B264" t="str">
        <f t="shared" si="28"/>
        <v xml:space="preserve"> 21973</v>
      </c>
      <c r="C264" t="str">
        <f t="shared" si="25"/>
        <v xml:space="preserve"> 21888</v>
      </c>
      <c r="D264" t="str">
        <f t="shared" si="26"/>
        <v>-2</v>
      </c>
      <c r="E264" t="str">
        <f t="shared" si="27"/>
        <v xml:space="preserve"> -2</v>
      </c>
      <c r="F264" s="5">
        <f t="shared" si="23"/>
        <v>201</v>
      </c>
      <c r="G264" s="5">
        <f t="shared" si="24"/>
        <v>116</v>
      </c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</row>
    <row r="265" spans="1:350" x14ac:dyDescent="0.25">
      <c r="A265" s="6" t="s">
        <v>295</v>
      </c>
      <c r="B265" t="str">
        <f t="shared" si="28"/>
        <v xml:space="preserve"> 21973</v>
      </c>
      <c r="C265" t="str">
        <f t="shared" si="25"/>
        <v xml:space="preserve"> 11000</v>
      </c>
      <c r="D265" t="str">
        <f t="shared" si="26"/>
        <v>-2</v>
      </c>
      <c r="E265" t="str">
        <f t="shared" si="27"/>
        <v xml:space="preserve"> -1</v>
      </c>
      <c r="F265" s="5">
        <f t="shared" si="23"/>
        <v>201</v>
      </c>
      <c r="G265" s="5">
        <f t="shared" si="24"/>
        <v>114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</row>
    <row r="266" spans="1:350" x14ac:dyDescent="0.25">
      <c r="A266" s="6" t="s">
        <v>296</v>
      </c>
      <c r="B266" t="str">
        <f t="shared" si="28"/>
        <v xml:space="preserve"> 11107</v>
      </c>
      <c r="C266" t="str">
        <f t="shared" si="25"/>
        <v>-10771</v>
      </c>
      <c r="D266" t="str">
        <f t="shared" si="26"/>
        <v>-1</v>
      </c>
      <c r="E266" t="str">
        <f t="shared" si="27"/>
        <v xml:space="preserve">  1</v>
      </c>
      <c r="F266" s="5">
        <f t="shared" si="23"/>
        <v>221</v>
      </c>
      <c r="G266" s="5">
        <f t="shared" si="24"/>
        <v>115</v>
      </c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</row>
    <row r="267" spans="1:350" x14ac:dyDescent="0.25">
      <c r="A267" s="6" t="s">
        <v>297</v>
      </c>
      <c r="B267" t="str">
        <f t="shared" si="28"/>
        <v>-10680</v>
      </c>
      <c r="C267" t="str">
        <f t="shared" si="25"/>
        <v>-10769</v>
      </c>
      <c r="D267" t="str">
        <f t="shared" si="26"/>
        <v xml:space="preserve"> 1</v>
      </c>
      <c r="E267" t="str">
        <f t="shared" si="27"/>
        <v xml:space="preserve">  1</v>
      </c>
      <c r="F267" s="5">
        <f t="shared" si="23"/>
        <v>206</v>
      </c>
      <c r="G267" s="5">
        <f t="shared" si="24"/>
        <v>117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</row>
    <row r="268" spans="1:350" x14ac:dyDescent="0.25">
      <c r="A268" s="6" t="s">
        <v>298</v>
      </c>
      <c r="B268" t="str">
        <f t="shared" si="28"/>
        <v xml:space="preserve"> 32867</v>
      </c>
      <c r="C268" t="str">
        <f t="shared" si="25"/>
        <v xml:space="preserve"> 54542</v>
      </c>
      <c r="D268" t="str">
        <f t="shared" si="26"/>
        <v>-3</v>
      </c>
      <c r="E268" t="str">
        <f t="shared" si="27"/>
        <v xml:space="preserve"> -5</v>
      </c>
      <c r="F268" s="5">
        <f t="shared" si="23"/>
        <v>209</v>
      </c>
      <c r="G268" s="5">
        <f t="shared" si="24"/>
        <v>112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</row>
    <row r="269" spans="1:350" x14ac:dyDescent="0.25">
      <c r="A269" s="6" t="s">
        <v>299</v>
      </c>
      <c r="B269" t="str">
        <f t="shared" si="28"/>
        <v>-10701</v>
      </c>
      <c r="C269" t="str">
        <f t="shared" si="25"/>
        <v xml:space="preserve"> 21887</v>
      </c>
      <c r="D269" t="str">
        <f t="shared" si="26"/>
        <v xml:space="preserve"> 1</v>
      </c>
      <c r="E269" t="str">
        <f t="shared" si="27"/>
        <v xml:space="preserve"> -2</v>
      </c>
      <c r="F269" s="5">
        <f t="shared" si="23"/>
        <v>185</v>
      </c>
      <c r="G269" s="5">
        <f t="shared" si="24"/>
        <v>115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</row>
    <row r="270" spans="1:350" x14ac:dyDescent="0.25">
      <c r="A270" s="6" t="s">
        <v>300</v>
      </c>
      <c r="B270" t="str">
        <f t="shared" si="28"/>
        <v>-54250</v>
      </c>
      <c r="C270" t="str">
        <f t="shared" si="25"/>
        <v>-10775</v>
      </c>
      <c r="D270" t="str">
        <f t="shared" si="26"/>
        <v xml:space="preserve"> 5</v>
      </c>
      <c r="E270" t="str">
        <f t="shared" si="27"/>
        <v xml:space="preserve">  1</v>
      </c>
      <c r="F270" s="5">
        <f t="shared" si="23"/>
        <v>180</v>
      </c>
      <c r="G270" s="5">
        <f t="shared" si="24"/>
        <v>111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</row>
    <row r="271" spans="1:350" x14ac:dyDescent="0.25">
      <c r="A271" s="6" t="s">
        <v>301</v>
      </c>
      <c r="B271" t="str">
        <f t="shared" si="28"/>
        <v xml:space="preserve"> 54615</v>
      </c>
      <c r="C271" t="str">
        <f t="shared" si="25"/>
        <v>-10768</v>
      </c>
      <c r="D271" t="str">
        <f t="shared" si="26"/>
        <v>-5</v>
      </c>
      <c r="E271" t="str">
        <f t="shared" si="27"/>
        <v xml:space="preserve">  1</v>
      </c>
      <c r="F271" s="5">
        <f t="shared" si="23"/>
        <v>185</v>
      </c>
      <c r="G271" s="5">
        <f t="shared" si="24"/>
        <v>118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</row>
    <row r="272" spans="1:350" x14ac:dyDescent="0.25">
      <c r="A272" s="6" t="s">
        <v>302</v>
      </c>
      <c r="B272" t="str">
        <f t="shared" si="28"/>
        <v>-21550</v>
      </c>
      <c r="C272" t="str">
        <f t="shared" si="25"/>
        <v xml:space="preserve"> 21883</v>
      </c>
      <c r="D272" t="str">
        <f t="shared" si="26"/>
        <v xml:space="preserve"> 2</v>
      </c>
      <c r="E272" t="str">
        <f t="shared" si="27"/>
        <v xml:space="preserve"> -2</v>
      </c>
      <c r="F272" s="5">
        <f t="shared" si="23"/>
        <v>222</v>
      </c>
      <c r="G272" s="5">
        <f t="shared" si="24"/>
        <v>111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</row>
    <row r="273" spans="1:350" x14ac:dyDescent="0.25">
      <c r="A273" s="6" t="s">
        <v>303</v>
      </c>
      <c r="B273" t="str">
        <f t="shared" si="28"/>
        <v>-43346</v>
      </c>
      <c r="C273" t="str">
        <f t="shared" si="25"/>
        <v xml:space="preserve"> 21890</v>
      </c>
      <c r="D273" t="str">
        <f t="shared" si="26"/>
        <v xml:space="preserve"> 4</v>
      </c>
      <c r="E273" t="str">
        <f t="shared" si="27"/>
        <v xml:space="preserve"> -2</v>
      </c>
      <c r="F273" s="5">
        <f t="shared" si="23"/>
        <v>198</v>
      </c>
      <c r="G273" s="5">
        <f t="shared" si="24"/>
        <v>118</v>
      </c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</row>
    <row r="274" spans="1:350" x14ac:dyDescent="0.25">
      <c r="A274" s="6" t="s">
        <v>304</v>
      </c>
      <c r="B274" t="str">
        <f t="shared" si="28"/>
        <v>-54216</v>
      </c>
      <c r="C274" t="str">
        <f t="shared" si="25"/>
        <v>-54318</v>
      </c>
      <c r="D274" t="str">
        <f t="shared" si="26"/>
        <v xml:space="preserve"> 5</v>
      </c>
      <c r="E274" t="str">
        <f t="shared" si="27"/>
        <v xml:space="preserve">  5</v>
      </c>
      <c r="F274" s="5">
        <f t="shared" si="23"/>
        <v>214</v>
      </c>
      <c r="G274" s="5">
        <f t="shared" si="24"/>
        <v>112</v>
      </c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</row>
    <row r="275" spans="1:350" x14ac:dyDescent="0.25">
      <c r="A275" s="6" t="s">
        <v>305</v>
      </c>
      <c r="B275" t="str">
        <f t="shared" si="28"/>
        <v>-43357</v>
      </c>
      <c r="C275" t="str">
        <f t="shared" si="25"/>
        <v xml:space="preserve"> 11006</v>
      </c>
      <c r="D275" t="str">
        <f t="shared" si="26"/>
        <v xml:space="preserve"> 4</v>
      </c>
      <c r="E275" t="str">
        <f t="shared" si="27"/>
        <v xml:space="preserve"> -1</v>
      </c>
      <c r="F275" s="5">
        <f t="shared" si="23"/>
        <v>187</v>
      </c>
      <c r="G275" s="5">
        <f t="shared" si="24"/>
        <v>120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</row>
    <row r="276" spans="1:350" x14ac:dyDescent="0.25">
      <c r="A276" s="6" t="s">
        <v>306</v>
      </c>
      <c r="B276" t="str">
        <f t="shared" si="28"/>
        <v>-10692</v>
      </c>
      <c r="C276" t="str">
        <f t="shared" si="25"/>
        <v>-10766</v>
      </c>
      <c r="D276" t="str">
        <f t="shared" si="26"/>
        <v xml:space="preserve"> 1</v>
      </c>
      <c r="E276" t="str">
        <f t="shared" si="27"/>
        <v xml:space="preserve">  1</v>
      </c>
      <c r="F276" s="5">
        <f t="shared" si="23"/>
        <v>194</v>
      </c>
      <c r="G276" s="5">
        <f t="shared" si="24"/>
        <v>120</v>
      </c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</row>
    <row r="277" spans="1:350" x14ac:dyDescent="0.25">
      <c r="A277" s="6" t="s">
        <v>307</v>
      </c>
      <c r="B277" t="str">
        <f t="shared" si="28"/>
        <v xml:space="preserve"> 21944</v>
      </c>
      <c r="C277" t="str">
        <f t="shared" si="25"/>
        <v xml:space="preserve"> 21892</v>
      </c>
      <c r="D277" t="str">
        <f t="shared" si="26"/>
        <v>-2</v>
      </c>
      <c r="E277" t="str">
        <f t="shared" si="27"/>
        <v xml:space="preserve"> -2</v>
      </c>
      <c r="F277" s="5">
        <f t="shared" si="23"/>
        <v>172</v>
      </c>
      <c r="G277" s="5">
        <f t="shared" si="24"/>
        <v>120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</row>
    <row r="278" spans="1:350" x14ac:dyDescent="0.25">
      <c r="A278" s="6" t="s">
        <v>308</v>
      </c>
      <c r="B278" t="str">
        <f t="shared" si="28"/>
        <v xml:space="preserve"> 54623</v>
      </c>
      <c r="C278" t="str">
        <f t="shared" si="25"/>
        <v>-10772</v>
      </c>
      <c r="D278" t="str">
        <f t="shared" si="26"/>
        <v>-5</v>
      </c>
      <c r="E278" t="str">
        <f t="shared" si="27"/>
        <v xml:space="preserve">  1</v>
      </c>
      <c r="F278" s="5">
        <f t="shared" si="23"/>
        <v>193</v>
      </c>
      <c r="G278" s="5">
        <f t="shared" si="24"/>
        <v>114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</row>
    <row r="279" spans="1:350" x14ac:dyDescent="0.25">
      <c r="A279" s="6" t="s">
        <v>309</v>
      </c>
      <c r="B279" t="str">
        <f t="shared" si="28"/>
        <v xml:space="preserve"> 43749</v>
      </c>
      <c r="C279" t="str">
        <f t="shared" si="25"/>
        <v xml:space="preserve"> 43663</v>
      </c>
      <c r="D279" t="str">
        <f t="shared" si="26"/>
        <v>-4</v>
      </c>
      <c r="E279" t="str">
        <f t="shared" si="27"/>
        <v xml:space="preserve"> -4</v>
      </c>
      <c r="F279" s="5">
        <f t="shared" si="23"/>
        <v>205</v>
      </c>
      <c r="G279" s="5">
        <f t="shared" si="24"/>
        <v>119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</row>
    <row r="280" spans="1:350" x14ac:dyDescent="0.25">
      <c r="A280" s="6" t="s">
        <v>310</v>
      </c>
      <c r="B280" t="str">
        <f t="shared" si="28"/>
        <v xml:space="preserve"> 43740</v>
      </c>
      <c r="C280" t="str">
        <f t="shared" si="25"/>
        <v xml:space="preserve"> 21888</v>
      </c>
      <c r="D280" t="str">
        <f t="shared" si="26"/>
        <v>-4</v>
      </c>
      <c r="E280" t="str">
        <f t="shared" si="27"/>
        <v xml:space="preserve"> -2</v>
      </c>
      <c r="F280" s="5">
        <f t="shared" si="23"/>
        <v>196</v>
      </c>
      <c r="G280" s="5">
        <f t="shared" si="24"/>
        <v>116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</row>
    <row r="281" spans="1:350" x14ac:dyDescent="0.25">
      <c r="A281" s="6" t="s">
        <v>311</v>
      </c>
      <c r="B281" t="str">
        <f t="shared" si="28"/>
        <v>-54224</v>
      </c>
      <c r="C281" t="str">
        <f t="shared" si="25"/>
        <v xml:space="preserve"> 32776</v>
      </c>
      <c r="D281" t="str">
        <f t="shared" si="26"/>
        <v xml:space="preserve"> 5</v>
      </c>
      <c r="E281" t="str">
        <f t="shared" si="27"/>
        <v xml:space="preserve"> -3</v>
      </c>
      <c r="F281" s="5">
        <f t="shared" si="23"/>
        <v>206</v>
      </c>
      <c r="G281" s="5">
        <f t="shared" si="24"/>
        <v>118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</row>
    <row r="282" spans="1:350" x14ac:dyDescent="0.25">
      <c r="A282" s="6" t="s">
        <v>312</v>
      </c>
      <c r="B282" t="str">
        <f t="shared" si="28"/>
        <v>-54240</v>
      </c>
      <c r="C282" t="str">
        <f t="shared" si="25"/>
        <v xml:space="preserve"> 43657</v>
      </c>
      <c r="D282" t="str">
        <f t="shared" si="26"/>
        <v xml:space="preserve"> 5</v>
      </c>
      <c r="E282" t="str">
        <f t="shared" si="27"/>
        <v xml:space="preserve"> -4</v>
      </c>
      <c r="F282" s="5">
        <f t="shared" si="23"/>
        <v>190</v>
      </c>
      <c r="G282" s="5">
        <f t="shared" si="24"/>
        <v>113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</row>
    <row r="283" spans="1:350" x14ac:dyDescent="0.25">
      <c r="A283" s="6" t="s">
        <v>313</v>
      </c>
      <c r="B283" t="str">
        <f t="shared" si="28"/>
        <v>-21592</v>
      </c>
      <c r="C283" t="str">
        <f t="shared" si="25"/>
        <v>-54310</v>
      </c>
      <c r="D283" t="str">
        <f t="shared" si="26"/>
        <v xml:space="preserve"> 2</v>
      </c>
      <c r="E283" t="str">
        <f t="shared" si="27"/>
        <v xml:space="preserve">  5</v>
      </c>
      <c r="F283" s="5">
        <f t="shared" si="23"/>
        <v>180</v>
      </c>
      <c r="G283" s="5">
        <f t="shared" si="24"/>
        <v>120</v>
      </c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</row>
    <row r="284" spans="1:350" x14ac:dyDescent="0.25">
      <c r="A284" s="6" t="s">
        <v>314</v>
      </c>
      <c r="B284" t="str">
        <f t="shared" si="28"/>
        <v xml:space="preserve"> 54599</v>
      </c>
      <c r="C284" t="str">
        <f t="shared" si="25"/>
        <v xml:space="preserve"> 21883</v>
      </c>
      <c r="D284" t="str">
        <f t="shared" si="26"/>
        <v>-5</v>
      </c>
      <c r="E284" t="str">
        <f t="shared" si="27"/>
        <v xml:space="preserve"> -2</v>
      </c>
      <c r="F284" s="5">
        <f t="shared" si="23"/>
        <v>169</v>
      </c>
      <c r="G284" s="5">
        <f t="shared" si="24"/>
        <v>111</v>
      </c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</row>
    <row r="285" spans="1:350" x14ac:dyDescent="0.25">
      <c r="A285" s="6" t="s">
        <v>315</v>
      </c>
      <c r="B285" t="str">
        <f t="shared" si="28"/>
        <v xml:space="preserve"> 32830</v>
      </c>
      <c r="C285" t="str">
        <f t="shared" si="25"/>
        <v>-10771</v>
      </c>
      <c r="D285" t="str">
        <f t="shared" si="26"/>
        <v>-3</v>
      </c>
      <c r="E285" t="str">
        <f t="shared" si="27"/>
        <v xml:space="preserve">  1</v>
      </c>
      <c r="F285" s="5">
        <f t="shared" si="23"/>
        <v>172</v>
      </c>
      <c r="G285" s="5">
        <f t="shared" si="24"/>
        <v>115</v>
      </c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</row>
    <row r="286" spans="1:350" x14ac:dyDescent="0.25">
      <c r="A286" s="6" t="s">
        <v>316</v>
      </c>
      <c r="B286" t="str">
        <f t="shared" si="28"/>
        <v xml:space="preserve"> 21961</v>
      </c>
      <c r="C286" t="str">
        <f t="shared" si="25"/>
        <v xml:space="preserve"> 54550</v>
      </c>
      <c r="D286" t="str">
        <f t="shared" si="26"/>
        <v>-2</v>
      </c>
      <c r="E286" t="str">
        <f t="shared" si="27"/>
        <v xml:space="preserve"> -5</v>
      </c>
      <c r="F286" s="5">
        <f t="shared" si="23"/>
        <v>189</v>
      </c>
      <c r="G286" s="5">
        <f t="shared" si="24"/>
        <v>120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</row>
    <row r="287" spans="1:350" x14ac:dyDescent="0.25">
      <c r="A287" s="6" t="s">
        <v>317</v>
      </c>
      <c r="B287" t="str">
        <f t="shared" si="28"/>
        <v>-54258</v>
      </c>
      <c r="C287" t="str">
        <f t="shared" si="25"/>
        <v>-32543</v>
      </c>
      <c r="D287" t="str">
        <f t="shared" si="26"/>
        <v xml:space="preserve"> 5</v>
      </c>
      <c r="E287" t="str">
        <f t="shared" si="27"/>
        <v xml:space="preserve">  3</v>
      </c>
      <c r="F287" s="5">
        <f t="shared" si="23"/>
        <v>172</v>
      </c>
      <c r="G287" s="5">
        <f t="shared" si="24"/>
        <v>115</v>
      </c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</row>
    <row r="288" spans="1:350" x14ac:dyDescent="0.25">
      <c r="A288" s="6" t="s">
        <v>318</v>
      </c>
      <c r="B288" t="str">
        <f t="shared" si="28"/>
        <v xml:space="preserve"> 11047</v>
      </c>
      <c r="C288" t="str">
        <f t="shared" si="25"/>
        <v>-10768</v>
      </c>
      <c r="D288" t="str">
        <f t="shared" si="26"/>
        <v>-1</v>
      </c>
      <c r="E288" t="str">
        <f t="shared" si="27"/>
        <v xml:space="preserve">  1</v>
      </c>
      <c r="F288" s="5">
        <f t="shared" si="23"/>
        <v>161</v>
      </c>
      <c r="G288" s="5">
        <f t="shared" si="24"/>
        <v>118</v>
      </c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</row>
    <row r="289" spans="1:350" x14ac:dyDescent="0.25">
      <c r="A289" s="6" t="s">
        <v>319</v>
      </c>
      <c r="B289" t="str">
        <f t="shared" si="28"/>
        <v xml:space="preserve"> 11047</v>
      </c>
      <c r="C289" t="str">
        <f t="shared" si="25"/>
        <v>-21653</v>
      </c>
      <c r="D289" t="str">
        <f t="shared" si="26"/>
        <v>-1</v>
      </c>
      <c r="E289" t="str">
        <f t="shared" si="27"/>
        <v xml:space="preserve">  2</v>
      </c>
      <c r="F289" s="5">
        <f t="shared" ref="F289:F337" si="29">B289+(D289*$I$1)</f>
        <v>161</v>
      </c>
      <c r="G289" s="5">
        <f t="shared" ref="G289:G337" si="30">C289+(E289*$I$1)</f>
        <v>119</v>
      </c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</row>
    <row r="290" spans="1:350" x14ac:dyDescent="0.25">
      <c r="A290" s="6" t="s">
        <v>320</v>
      </c>
      <c r="B290" t="str">
        <f t="shared" si="28"/>
        <v xml:space="preserve"> 43709</v>
      </c>
      <c r="C290" t="str">
        <f t="shared" ref="C290:C337" si="31">MID(A290,19,6)</f>
        <v xml:space="preserve"> 21883</v>
      </c>
      <c r="D290" t="str">
        <f t="shared" ref="D290:D337" si="32">MID(A290,37,2)</f>
        <v>-4</v>
      </c>
      <c r="E290" t="str">
        <f t="shared" ref="E290:E337" si="33">MID(A290,40,3)</f>
        <v xml:space="preserve"> -2</v>
      </c>
      <c r="F290" s="5">
        <f t="shared" si="29"/>
        <v>165</v>
      </c>
      <c r="G290" s="5">
        <f t="shared" si="30"/>
        <v>111</v>
      </c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</row>
    <row r="291" spans="1:350" x14ac:dyDescent="0.25">
      <c r="A291" s="6" t="s">
        <v>321</v>
      </c>
      <c r="B291" t="str">
        <f t="shared" si="28"/>
        <v xml:space="preserve"> 43729</v>
      </c>
      <c r="C291" t="str">
        <f t="shared" si="31"/>
        <v>-10766</v>
      </c>
      <c r="D291" t="str">
        <f t="shared" si="32"/>
        <v>-4</v>
      </c>
      <c r="E291" t="str">
        <f t="shared" si="33"/>
        <v xml:space="preserve">  1</v>
      </c>
      <c r="F291" s="5">
        <f t="shared" si="29"/>
        <v>185</v>
      </c>
      <c r="G291" s="5">
        <f t="shared" si="30"/>
        <v>120</v>
      </c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4"/>
      <c r="ML291" s="5"/>
    </row>
    <row r="292" spans="1:350" x14ac:dyDescent="0.25">
      <c r="A292" s="6" t="s">
        <v>322</v>
      </c>
      <c r="B292" t="str">
        <f t="shared" si="28"/>
        <v>-32481</v>
      </c>
      <c r="C292" t="str">
        <f t="shared" si="31"/>
        <v>-54317</v>
      </c>
      <c r="D292" t="str">
        <f t="shared" si="32"/>
        <v xml:space="preserve"> 3</v>
      </c>
      <c r="E292" t="str">
        <f t="shared" si="33"/>
        <v xml:space="preserve">  5</v>
      </c>
      <c r="F292" s="5">
        <f t="shared" si="29"/>
        <v>177</v>
      </c>
      <c r="G292" s="5">
        <f t="shared" si="30"/>
        <v>113</v>
      </c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</row>
    <row r="293" spans="1:350" x14ac:dyDescent="0.25">
      <c r="A293" s="6" t="s">
        <v>323</v>
      </c>
      <c r="B293" t="str">
        <f t="shared" si="28"/>
        <v>-32481</v>
      </c>
      <c r="C293" t="str">
        <f t="shared" si="31"/>
        <v>-54318</v>
      </c>
      <c r="D293" t="str">
        <f t="shared" si="32"/>
        <v xml:space="preserve"> 3</v>
      </c>
      <c r="E293" t="str">
        <f t="shared" si="33"/>
        <v xml:space="preserve">  5</v>
      </c>
      <c r="F293" s="5">
        <f t="shared" si="29"/>
        <v>177</v>
      </c>
      <c r="G293" s="5">
        <f t="shared" si="30"/>
        <v>112</v>
      </c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</row>
    <row r="294" spans="1:350" x14ac:dyDescent="0.25">
      <c r="A294" s="6" t="s">
        <v>324</v>
      </c>
      <c r="B294" t="str">
        <f t="shared" si="28"/>
        <v xml:space="preserve"> 43750</v>
      </c>
      <c r="C294" t="str">
        <f t="shared" si="31"/>
        <v>-54311</v>
      </c>
      <c r="D294" t="str">
        <f t="shared" si="32"/>
        <v>-4</v>
      </c>
      <c r="E294" t="str">
        <f t="shared" si="33"/>
        <v xml:space="preserve">  5</v>
      </c>
      <c r="F294" s="5">
        <f t="shared" si="29"/>
        <v>206</v>
      </c>
      <c r="G294" s="5">
        <f t="shared" si="30"/>
        <v>119</v>
      </c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</row>
    <row r="295" spans="1:350" x14ac:dyDescent="0.25">
      <c r="A295" s="6" t="s">
        <v>325</v>
      </c>
      <c r="B295" t="str">
        <f t="shared" si="28"/>
        <v>-43325</v>
      </c>
      <c r="C295" t="str">
        <f t="shared" si="31"/>
        <v xml:space="preserve"> 11006</v>
      </c>
      <c r="D295" t="str">
        <f t="shared" si="32"/>
        <v xml:space="preserve"> 4</v>
      </c>
      <c r="E295" t="str">
        <f t="shared" si="33"/>
        <v xml:space="preserve"> -1</v>
      </c>
      <c r="F295" s="5">
        <f t="shared" si="29"/>
        <v>219</v>
      </c>
      <c r="G295" s="5">
        <f t="shared" si="30"/>
        <v>120</v>
      </c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4"/>
      <c r="MI295" s="5"/>
      <c r="MJ295" s="5"/>
      <c r="MK295" s="5"/>
      <c r="ML295" s="5"/>
    </row>
    <row r="296" spans="1:350" x14ac:dyDescent="0.25">
      <c r="A296" s="6" t="s">
        <v>326</v>
      </c>
      <c r="B296" t="str">
        <f t="shared" si="28"/>
        <v>-43331</v>
      </c>
      <c r="C296" t="str">
        <f t="shared" si="31"/>
        <v xml:space="preserve"> 21892</v>
      </c>
      <c r="D296" t="str">
        <f t="shared" si="32"/>
        <v xml:space="preserve"> 4</v>
      </c>
      <c r="E296" t="str">
        <f t="shared" si="33"/>
        <v xml:space="preserve"> -2</v>
      </c>
      <c r="F296" s="5">
        <f t="shared" si="29"/>
        <v>213</v>
      </c>
      <c r="G296" s="5">
        <f t="shared" si="30"/>
        <v>120</v>
      </c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4"/>
      <c r="MD296" s="5"/>
      <c r="ME296" s="5"/>
      <c r="MF296" s="5"/>
      <c r="MG296" s="5"/>
      <c r="MH296" s="5"/>
      <c r="MI296" s="5"/>
      <c r="MJ296" s="5"/>
      <c r="MK296" s="5"/>
      <c r="ML296" s="5"/>
    </row>
    <row r="297" spans="1:350" x14ac:dyDescent="0.25">
      <c r="A297" s="6" t="s">
        <v>327</v>
      </c>
      <c r="B297" t="str">
        <f t="shared" si="28"/>
        <v xml:space="preserve"> 32867</v>
      </c>
      <c r="C297" t="str">
        <f t="shared" si="31"/>
        <v>-54311</v>
      </c>
      <c r="D297" t="str">
        <f t="shared" si="32"/>
        <v>-3</v>
      </c>
      <c r="E297" t="str">
        <f t="shared" si="33"/>
        <v xml:space="preserve">  5</v>
      </c>
      <c r="F297" s="5">
        <f t="shared" si="29"/>
        <v>209</v>
      </c>
      <c r="G297" s="5">
        <f t="shared" si="30"/>
        <v>119</v>
      </c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4"/>
      <c r="MH297" s="5"/>
      <c r="MI297" s="5"/>
      <c r="MJ297" s="5"/>
      <c r="MK297" s="5"/>
      <c r="ML297" s="5"/>
    </row>
    <row r="298" spans="1:350" x14ac:dyDescent="0.25">
      <c r="A298" s="6" t="s">
        <v>328</v>
      </c>
      <c r="B298" t="str">
        <f t="shared" si="28"/>
        <v xml:space="preserve"> 32847</v>
      </c>
      <c r="C298" t="str">
        <f t="shared" si="31"/>
        <v>-10771</v>
      </c>
      <c r="D298" t="str">
        <f t="shared" si="32"/>
        <v>-3</v>
      </c>
      <c r="E298" t="str">
        <f t="shared" si="33"/>
        <v xml:space="preserve">  1</v>
      </c>
      <c r="F298" s="5">
        <f t="shared" si="29"/>
        <v>189</v>
      </c>
      <c r="G298" s="5">
        <f t="shared" si="30"/>
        <v>115</v>
      </c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</row>
    <row r="299" spans="1:350" x14ac:dyDescent="0.25">
      <c r="A299" s="6" t="s">
        <v>329</v>
      </c>
      <c r="B299" t="str">
        <f t="shared" si="28"/>
        <v xml:space="preserve"> 43731</v>
      </c>
      <c r="C299" t="str">
        <f t="shared" si="31"/>
        <v xml:space="preserve"> 43664</v>
      </c>
      <c r="D299" t="str">
        <f t="shared" si="32"/>
        <v>-4</v>
      </c>
      <c r="E299" t="str">
        <f t="shared" si="33"/>
        <v xml:space="preserve"> -4</v>
      </c>
      <c r="F299" s="5">
        <f t="shared" si="29"/>
        <v>187</v>
      </c>
      <c r="G299" s="5">
        <f t="shared" si="30"/>
        <v>120</v>
      </c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</row>
    <row r="300" spans="1:350" x14ac:dyDescent="0.25">
      <c r="A300" s="6" t="s">
        <v>330</v>
      </c>
      <c r="B300" t="str">
        <f t="shared" si="28"/>
        <v xml:space="preserve"> 21965</v>
      </c>
      <c r="C300" t="str">
        <f t="shared" si="31"/>
        <v>-10770</v>
      </c>
      <c r="D300" t="str">
        <f t="shared" si="32"/>
        <v>-2</v>
      </c>
      <c r="E300" t="str">
        <f t="shared" si="33"/>
        <v xml:space="preserve">  1</v>
      </c>
      <c r="F300" s="5">
        <f t="shared" si="29"/>
        <v>193</v>
      </c>
      <c r="G300" s="5">
        <f t="shared" si="30"/>
        <v>116</v>
      </c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4"/>
      <c r="MJ300" s="5"/>
      <c r="MK300" s="5"/>
      <c r="ML300" s="5"/>
    </row>
    <row r="301" spans="1:350" x14ac:dyDescent="0.25">
      <c r="A301" s="6" t="s">
        <v>331</v>
      </c>
      <c r="B301" t="str">
        <f t="shared" si="28"/>
        <v>-43362</v>
      </c>
      <c r="C301" t="str">
        <f t="shared" si="31"/>
        <v xml:space="preserve"> 21884</v>
      </c>
      <c r="D301" t="str">
        <f t="shared" si="32"/>
        <v xml:space="preserve"> 4</v>
      </c>
      <c r="E301" t="str">
        <f t="shared" si="33"/>
        <v xml:space="preserve"> -2</v>
      </c>
      <c r="F301" s="5">
        <f t="shared" si="29"/>
        <v>182</v>
      </c>
      <c r="G301" s="5">
        <f t="shared" si="30"/>
        <v>112</v>
      </c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</row>
    <row r="302" spans="1:350" x14ac:dyDescent="0.25">
      <c r="A302" s="6" t="s">
        <v>332</v>
      </c>
      <c r="B302" t="str">
        <f t="shared" si="28"/>
        <v xml:space="preserve"> 43742</v>
      </c>
      <c r="C302" t="str">
        <f t="shared" si="31"/>
        <v xml:space="preserve"> 43663</v>
      </c>
      <c r="D302" t="str">
        <f t="shared" si="32"/>
        <v>-4</v>
      </c>
      <c r="E302" t="str">
        <f t="shared" si="33"/>
        <v xml:space="preserve"> -4</v>
      </c>
      <c r="F302" s="5">
        <f t="shared" si="29"/>
        <v>198</v>
      </c>
      <c r="G302" s="5">
        <f t="shared" si="30"/>
        <v>119</v>
      </c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4"/>
      <c r="ML302" s="5"/>
    </row>
    <row r="303" spans="1:350" x14ac:dyDescent="0.25">
      <c r="A303" s="6" t="s">
        <v>333</v>
      </c>
      <c r="B303" t="str">
        <f t="shared" si="28"/>
        <v xml:space="preserve"> 54634</v>
      </c>
      <c r="C303" t="str">
        <f t="shared" si="31"/>
        <v xml:space="preserve"> 54541</v>
      </c>
      <c r="D303" t="str">
        <f t="shared" si="32"/>
        <v>-5</v>
      </c>
      <c r="E303" t="str">
        <f t="shared" si="33"/>
        <v xml:space="preserve"> -5</v>
      </c>
      <c r="F303" s="5">
        <f t="shared" si="29"/>
        <v>204</v>
      </c>
      <c r="G303" s="5">
        <f t="shared" si="30"/>
        <v>111</v>
      </c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</row>
    <row r="304" spans="1:350" x14ac:dyDescent="0.25">
      <c r="A304" s="6" t="s">
        <v>334</v>
      </c>
      <c r="B304" t="str">
        <f t="shared" si="28"/>
        <v>-32437</v>
      </c>
      <c r="C304" t="str">
        <f t="shared" si="31"/>
        <v xml:space="preserve"> 10999</v>
      </c>
      <c r="D304" t="str">
        <f t="shared" si="32"/>
        <v xml:space="preserve"> 3</v>
      </c>
      <c r="E304" t="str">
        <f t="shared" si="33"/>
        <v xml:space="preserve"> -1</v>
      </c>
      <c r="F304" s="5">
        <f t="shared" si="29"/>
        <v>221</v>
      </c>
      <c r="G304" s="5">
        <f t="shared" si="30"/>
        <v>113</v>
      </c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</row>
    <row r="305" spans="1:350" x14ac:dyDescent="0.25">
      <c r="A305" s="6" t="s">
        <v>335</v>
      </c>
      <c r="B305" t="str">
        <f t="shared" si="28"/>
        <v xml:space="preserve"> 54631</v>
      </c>
      <c r="C305" t="str">
        <f t="shared" si="31"/>
        <v>-21654</v>
      </c>
      <c r="D305" t="str">
        <f t="shared" si="32"/>
        <v>-5</v>
      </c>
      <c r="E305" t="str">
        <f t="shared" si="33"/>
        <v xml:space="preserve">  2</v>
      </c>
      <c r="F305" s="5">
        <f t="shared" si="29"/>
        <v>201</v>
      </c>
      <c r="G305" s="5">
        <f t="shared" si="30"/>
        <v>118</v>
      </c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4"/>
      <c r="MG305" s="5"/>
      <c r="MH305" s="5"/>
      <c r="MI305" s="4"/>
      <c r="MJ305" s="5"/>
      <c r="MK305" s="5"/>
      <c r="ML305" s="5"/>
    </row>
    <row r="306" spans="1:350" x14ac:dyDescent="0.25">
      <c r="A306" s="6" t="s">
        <v>336</v>
      </c>
      <c r="B306" t="str">
        <f t="shared" si="28"/>
        <v>-54220</v>
      </c>
      <c r="C306" t="str">
        <f t="shared" si="31"/>
        <v xml:space="preserve"> 11006</v>
      </c>
      <c r="D306" t="str">
        <f t="shared" si="32"/>
        <v xml:space="preserve"> 5</v>
      </c>
      <c r="E306" t="str">
        <f t="shared" si="33"/>
        <v xml:space="preserve"> -1</v>
      </c>
      <c r="F306" s="5">
        <f t="shared" si="29"/>
        <v>210</v>
      </c>
      <c r="G306" s="5">
        <f t="shared" si="30"/>
        <v>120</v>
      </c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4"/>
      <c r="ML306" s="5"/>
    </row>
    <row r="307" spans="1:350" x14ac:dyDescent="0.25">
      <c r="A307" s="6" t="s">
        <v>337</v>
      </c>
      <c r="B307" t="str">
        <f t="shared" si="28"/>
        <v xml:space="preserve"> 54607</v>
      </c>
      <c r="C307" t="str">
        <f t="shared" si="31"/>
        <v xml:space="preserve"> 54546</v>
      </c>
      <c r="D307" t="str">
        <f t="shared" si="32"/>
        <v>-5</v>
      </c>
      <c r="E307" t="str">
        <f t="shared" si="33"/>
        <v xml:space="preserve"> -5</v>
      </c>
      <c r="F307" s="5">
        <f t="shared" si="29"/>
        <v>177</v>
      </c>
      <c r="G307" s="5">
        <f t="shared" si="30"/>
        <v>116</v>
      </c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</row>
    <row r="308" spans="1:350" x14ac:dyDescent="0.25">
      <c r="A308" s="6" t="s">
        <v>338</v>
      </c>
      <c r="B308" t="str">
        <f t="shared" si="28"/>
        <v>-43342</v>
      </c>
      <c r="C308" t="str">
        <f t="shared" si="31"/>
        <v xml:space="preserve"> 43655</v>
      </c>
      <c r="D308" t="str">
        <f t="shared" si="32"/>
        <v xml:space="preserve"> 4</v>
      </c>
      <c r="E308" t="str">
        <f t="shared" si="33"/>
        <v xml:space="preserve"> -4</v>
      </c>
      <c r="F308" s="5">
        <f t="shared" si="29"/>
        <v>202</v>
      </c>
      <c r="G308" s="5">
        <f t="shared" si="30"/>
        <v>111</v>
      </c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</row>
    <row r="309" spans="1:350" x14ac:dyDescent="0.25">
      <c r="A309" s="6" t="s">
        <v>339</v>
      </c>
      <c r="B309" t="str">
        <f t="shared" si="28"/>
        <v xml:space="preserve"> 21973</v>
      </c>
      <c r="C309" t="str">
        <f t="shared" si="31"/>
        <v xml:space="preserve"> 32773</v>
      </c>
      <c r="D309" t="str">
        <f t="shared" si="32"/>
        <v>-2</v>
      </c>
      <c r="E309" t="str">
        <f t="shared" si="33"/>
        <v xml:space="preserve"> -3</v>
      </c>
      <c r="F309" s="5">
        <f t="shared" si="29"/>
        <v>201</v>
      </c>
      <c r="G309" s="5">
        <f t="shared" si="30"/>
        <v>115</v>
      </c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</row>
    <row r="310" spans="1:350" x14ac:dyDescent="0.25">
      <c r="A310" s="6" t="s">
        <v>340</v>
      </c>
      <c r="B310" t="str">
        <f t="shared" si="28"/>
        <v>-32496</v>
      </c>
      <c r="C310" t="str">
        <f t="shared" si="31"/>
        <v>-32538</v>
      </c>
      <c r="D310" t="str">
        <f t="shared" si="32"/>
        <v xml:space="preserve"> 3</v>
      </c>
      <c r="E310" t="str">
        <f t="shared" si="33"/>
        <v xml:space="preserve">  3</v>
      </c>
      <c r="F310" s="5">
        <f t="shared" si="29"/>
        <v>162</v>
      </c>
      <c r="G310" s="5">
        <f t="shared" si="30"/>
        <v>120</v>
      </c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</row>
    <row r="311" spans="1:350" x14ac:dyDescent="0.25">
      <c r="A311" s="6" t="s">
        <v>341</v>
      </c>
      <c r="B311" t="str">
        <f t="shared" si="28"/>
        <v xml:space="preserve"> 54599</v>
      </c>
      <c r="C311" t="str">
        <f t="shared" si="31"/>
        <v>-21652</v>
      </c>
      <c r="D311" t="str">
        <f t="shared" si="32"/>
        <v>-5</v>
      </c>
      <c r="E311" t="str">
        <f t="shared" si="33"/>
        <v xml:space="preserve">  2</v>
      </c>
      <c r="F311" s="5">
        <f t="shared" si="29"/>
        <v>169</v>
      </c>
      <c r="G311" s="5">
        <f t="shared" si="30"/>
        <v>120</v>
      </c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</row>
    <row r="312" spans="1:350" x14ac:dyDescent="0.25">
      <c r="A312" s="6" t="s">
        <v>342</v>
      </c>
      <c r="B312" t="str">
        <f t="shared" si="28"/>
        <v>-54267</v>
      </c>
      <c r="C312" t="str">
        <f t="shared" si="31"/>
        <v xml:space="preserve"> 54541</v>
      </c>
      <c r="D312" t="str">
        <f t="shared" si="32"/>
        <v xml:space="preserve"> 5</v>
      </c>
      <c r="E312" t="str">
        <f t="shared" si="33"/>
        <v xml:space="preserve"> -5</v>
      </c>
      <c r="F312" s="5">
        <f t="shared" si="29"/>
        <v>163</v>
      </c>
      <c r="G312" s="5">
        <f t="shared" si="30"/>
        <v>111</v>
      </c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</row>
    <row r="313" spans="1:350" x14ac:dyDescent="0.25">
      <c r="A313" s="6" t="s">
        <v>220</v>
      </c>
      <c r="B313" t="str">
        <f t="shared" si="28"/>
        <v xml:space="preserve"> 21949</v>
      </c>
      <c r="C313" t="str">
        <f t="shared" si="31"/>
        <v>-10768</v>
      </c>
      <c r="D313" t="str">
        <f t="shared" si="32"/>
        <v>-2</v>
      </c>
      <c r="E313" t="str">
        <f t="shared" si="33"/>
        <v xml:space="preserve">  1</v>
      </c>
      <c r="F313" s="5">
        <f t="shared" si="29"/>
        <v>177</v>
      </c>
      <c r="G313" s="5">
        <f t="shared" si="30"/>
        <v>118</v>
      </c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</row>
    <row r="314" spans="1:350" x14ac:dyDescent="0.25">
      <c r="A314" s="6" t="s">
        <v>343</v>
      </c>
      <c r="B314" t="str">
        <f t="shared" si="28"/>
        <v xml:space="preserve"> 11071</v>
      </c>
      <c r="C314" t="str">
        <f t="shared" si="31"/>
        <v>-10773</v>
      </c>
      <c r="D314" t="str">
        <f t="shared" si="32"/>
        <v>-1</v>
      </c>
      <c r="E314" t="str">
        <f t="shared" si="33"/>
        <v xml:space="preserve">  1</v>
      </c>
      <c r="F314" s="5">
        <f t="shared" si="29"/>
        <v>185</v>
      </c>
      <c r="G314" s="5">
        <f t="shared" si="30"/>
        <v>113</v>
      </c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</row>
    <row r="315" spans="1:350" x14ac:dyDescent="0.25">
      <c r="A315" s="6" t="s">
        <v>344</v>
      </c>
      <c r="B315" t="str">
        <f t="shared" si="28"/>
        <v xml:space="preserve"> 32879</v>
      </c>
      <c r="C315" t="str">
        <f t="shared" si="31"/>
        <v xml:space="preserve"> 54549</v>
      </c>
      <c r="D315" t="str">
        <f t="shared" si="32"/>
        <v>-3</v>
      </c>
      <c r="E315" t="str">
        <f t="shared" si="33"/>
        <v xml:space="preserve"> -5</v>
      </c>
      <c r="F315" s="5">
        <f t="shared" si="29"/>
        <v>221</v>
      </c>
      <c r="G315" s="5">
        <f t="shared" si="30"/>
        <v>119</v>
      </c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</row>
    <row r="316" spans="1:350" x14ac:dyDescent="0.25">
      <c r="A316" s="6" t="s">
        <v>345</v>
      </c>
      <c r="B316" t="str">
        <f t="shared" si="28"/>
        <v>-43351</v>
      </c>
      <c r="C316" t="str">
        <f t="shared" si="31"/>
        <v>-54316</v>
      </c>
      <c r="D316" t="str">
        <f t="shared" si="32"/>
        <v xml:space="preserve"> 4</v>
      </c>
      <c r="E316" t="str">
        <f t="shared" si="33"/>
        <v xml:space="preserve">  5</v>
      </c>
      <c r="F316" s="5">
        <f t="shared" si="29"/>
        <v>193</v>
      </c>
      <c r="G316" s="5">
        <f t="shared" si="30"/>
        <v>114</v>
      </c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</row>
    <row r="317" spans="1:350" x14ac:dyDescent="0.25">
      <c r="A317" s="6" t="s">
        <v>346</v>
      </c>
      <c r="B317" t="str">
        <f t="shared" si="28"/>
        <v>-54237</v>
      </c>
      <c r="C317" t="str">
        <f t="shared" si="31"/>
        <v xml:space="preserve"> 10999</v>
      </c>
      <c r="D317" t="str">
        <f t="shared" si="32"/>
        <v xml:space="preserve"> 5</v>
      </c>
      <c r="E317" t="str">
        <f t="shared" si="33"/>
        <v xml:space="preserve"> -1</v>
      </c>
      <c r="F317" s="5">
        <f t="shared" si="29"/>
        <v>193</v>
      </c>
      <c r="G317" s="5">
        <f t="shared" si="30"/>
        <v>113</v>
      </c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</row>
    <row r="318" spans="1:350" x14ac:dyDescent="0.25">
      <c r="A318" s="6" t="s">
        <v>347</v>
      </c>
      <c r="B318" t="str">
        <f t="shared" si="28"/>
        <v>-54245</v>
      </c>
      <c r="C318" t="str">
        <f t="shared" si="31"/>
        <v xml:space="preserve"> 32774</v>
      </c>
      <c r="D318" t="str">
        <f t="shared" si="32"/>
        <v xml:space="preserve"> 5</v>
      </c>
      <c r="E318" t="str">
        <f t="shared" si="33"/>
        <v xml:space="preserve"> -3</v>
      </c>
      <c r="F318" s="5">
        <f t="shared" si="29"/>
        <v>185</v>
      </c>
      <c r="G318" s="5">
        <f t="shared" si="30"/>
        <v>116</v>
      </c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</row>
    <row r="319" spans="1:350" x14ac:dyDescent="0.25">
      <c r="A319" s="6" t="s">
        <v>348</v>
      </c>
      <c r="B319" t="str">
        <f t="shared" si="28"/>
        <v>-43375</v>
      </c>
      <c r="C319" t="str">
        <f t="shared" si="31"/>
        <v xml:space="preserve"> 54549</v>
      </c>
      <c r="D319" t="str">
        <f t="shared" si="32"/>
        <v xml:space="preserve"> 4</v>
      </c>
      <c r="E319" t="str">
        <f t="shared" si="33"/>
        <v xml:space="preserve"> -5</v>
      </c>
      <c r="F319" s="5">
        <f t="shared" si="29"/>
        <v>169</v>
      </c>
      <c r="G319" s="5">
        <f t="shared" si="30"/>
        <v>119</v>
      </c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</row>
    <row r="320" spans="1:350" x14ac:dyDescent="0.25">
      <c r="A320" s="6" t="s">
        <v>349</v>
      </c>
      <c r="B320" t="str">
        <f t="shared" si="28"/>
        <v xml:space="preserve"> 54623</v>
      </c>
      <c r="C320" t="str">
        <f t="shared" si="31"/>
        <v>-21658</v>
      </c>
      <c r="D320" t="str">
        <f t="shared" si="32"/>
        <v>-5</v>
      </c>
      <c r="E320" t="str">
        <f t="shared" si="33"/>
        <v xml:space="preserve">  2</v>
      </c>
      <c r="F320" s="5">
        <f t="shared" si="29"/>
        <v>193</v>
      </c>
      <c r="G320" s="5">
        <f t="shared" si="30"/>
        <v>114</v>
      </c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</row>
    <row r="321" spans="1:350" x14ac:dyDescent="0.25">
      <c r="A321" s="6" t="s">
        <v>350</v>
      </c>
      <c r="B321" t="str">
        <f t="shared" si="28"/>
        <v>-43375</v>
      </c>
      <c r="C321" t="str">
        <f t="shared" si="31"/>
        <v xml:space="preserve"> 32778</v>
      </c>
      <c r="D321" t="str">
        <f t="shared" si="32"/>
        <v xml:space="preserve"> 4</v>
      </c>
      <c r="E321" t="str">
        <f t="shared" si="33"/>
        <v xml:space="preserve"> -3</v>
      </c>
      <c r="F321" s="5">
        <f t="shared" si="29"/>
        <v>169</v>
      </c>
      <c r="G321" s="5">
        <f t="shared" si="30"/>
        <v>120</v>
      </c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</row>
    <row r="322" spans="1:350" x14ac:dyDescent="0.25">
      <c r="A322" s="6" t="s">
        <v>351</v>
      </c>
      <c r="B322" t="str">
        <f t="shared" si="28"/>
        <v>-21551</v>
      </c>
      <c r="C322" t="str">
        <f t="shared" si="31"/>
        <v>-21660</v>
      </c>
      <c r="D322" t="str">
        <f t="shared" si="32"/>
        <v xml:space="preserve"> 2</v>
      </c>
      <c r="E322" t="str">
        <f t="shared" si="33"/>
        <v xml:space="preserve">  2</v>
      </c>
      <c r="F322" s="5">
        <f t="shared" si="29"/>
        <v>221</v>
      </c>
      <c r="G322" s="5">
        <f t="shared" si="30"/>
        <v>112</v>
      </c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</row>
    <row r="323" spans="1:350" x14ac:dyDescent="0.25">
      <c r="A323" s="6" t="s">
        <v>352</v>
      </c>
      <c r="B323" t="str">
        <f t="shared" ref="B323:B337" si="34">MID(A323,11,6)</f>
        <v xml:space="preserve"> 43741</v>
      </c>
      <c r="C323" t="str">
        <f t="shared" si="31"/>
        <v>-21656</v>
      </c>
      <c r="D323" t="str">
        <f t="shared" si="32"/>
        <v>-4</v>
      </c>
      <c r="E323" t="str">
        <f t="shared" si="33"/>
        <v xml:space="preserve">  2</v>
      </c>
      <c r="F323" s="5">
        <f t="shared" si="29"/>
        <v>197</v>
      </c>
      <c r="G323" s="5">
        <f t="shared" si="30"/>
        <v>116</v>
      </c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</row>
    <row r="324" spans="1:350" x14ac:dyDescent="0.25">
      <c r="A324" s="6" t="s">
        <v>353</v>
      </c>
      <c r="B324" t="str">
        <f t="shared" si="34"/>
        <v>-54240</v>
      </c>
      <c r="C324" t="str">
        <f t="shared" si="31"/>
        <v xml:space="preserve"> 32775</v>
      </c>
      <c r="D324" t="str">
        <f t="shared" si="32"/>
        <v xml:space="preserve"> 5</v>
      </c>
      <c r="E324" t="str">
        <f t="shared" si="33"/>
        <v xml:space="preserve"> -3</v>
      </c>
      <c r="F324" s="5">
        <f t="shared" si="29"/>
        <v>190</v>
      </c>
      <c r="G324" s="5">
        <f t="shared" si="30"/>
        <v>117</v>
      </c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</row>
    <row r="325" spans="1:350" x14ac:dyDescent="0.25">
      <c r="A325" s="6" t="s">
        <v>354</v>
      </c>
      <c r="B325" t="str">
        <f t="shared" si="34"/>
        <v xml:space="preserve"> 21984</v>
      </c>
      <c r="C325" t="str">
        <f t="shared" si="31"/>
        <v>-10766</v>
      </c>
      <c r="D325" t="str">
        <f t="shared" si="32"/>
        <v>-2</v>
      </c>
      <c r="E325" t="str">
        <f t="shared" si="33"/>
        <v xml:space="preserve">  1</v>
      </c>
      <c r="F325" s="5">
        <f t="shared" si="29"/>
        <v>212</v>
      </c>
      <c r="G325" s="5">
        <f t="shared" si="30"/>
        <v>120</v>
      </c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</row>
    <row r="326" spans="1:350" x14ac:dyDescent="0.25">
      <c r="A326" s="6" t="s">
        <v>355</v>
      </c>
      <c r="B326" t="str">
        <f t="shared" si="34"/>
        <v>-10720</v>
      </c>
      <c r="C326" t="str">
        <f t="shared" si="31"/>
        <v>-21659</v>
      </c>
      <c r="D326" t="str">
        <f t="shared" si="32"/>
        <v xml:space="preserve"> 1</v>
      </c>
      <c r="E326" t="str">
        <f t="shared" si="33"/>
        <v xml:space="preserve">  2</v>
      </c>
      <c r="F326" s="5">
        <f t="shared" si="29"/>
        <v>166</v>
      </c>
      <c r="G326" s="5">
        <f t="shared" si="30"/>
        <v>113</v>
      </c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</row>
    <row r="327" spans="1:350" x14ac:dyDescent="0.25">
      <c r="A327" s="6" t="s">
        <v>356</v>
      </c>
      <c r="B327" t="str">
        <f t="shared" si="34"/>
        <v xml:space="preserve"> 32824</v>
      </c>
      <c r="C327" t="str">
        <f t="shared" si="31"/>
        <v xml:space="preserve"> 32770</v>
      </c>
      <c r="D327" t="str">
        <f t="shared" si="32"/>
        <v>-3</v>
      </c>
      <c r="E327" t="str">
        <f t="shared" si="33"/>
        <v xml:space="preserve"> -3</v>
      </c>
      <c r="F327" s="5">
        <f t="shared" si="29"/>
        <v>166</v>
      </c>
      <c r="G327" s="5">
        <f t="shared" si="30"/>
        <v>112</v>
      </c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</row>
    <row r="328" spans="1:350" x14ac:dyDescent="0.25">
      <c r="A328" s="6" t="s">
        <v>357</v>
      </c>
      <c r="B328" t="str">
        <f t="shared" si="34"/>
        <v xml:space="preserve"> 11057</v>
      </c>
      <c r="C328" t="str">
        <f t="shared" si="31"/>
        <v xml:space="preserve"> 32774</v>
      </c>
      <c r="D328" t="str">
        <f t="shared" si="32"/>
        <v>-1</v>
      </c>
      <c r="E328" t="str">
        <f t="shared" si="33"/>
        <v xml:space="preserve"> -3</v>
      </c>
      <c r="F328" s="5">
        <f t="shared" si="29"/>
        <v>171</v>
      </c>
      <c r="G328" s="5">
        <f t="shared" si="30"/>
        <v>116</v>
      </c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4"/>
      <c r="MD328" s="5"/>
      <c r="ME328" s="5"/>
      <c r="MF328" s="5"/>
      <c r="MG328" s="5"/>
      <c r="MH328" s="5"/>
      <c r="MI328" s="5"/>
      <c r="MJ328" s="5"/>
      <c r="MK328" s="5"/>
      <c r="ML328" s="5"/>
    </row>
    <row r="329" spans="1:350" x14ac:dyDescent="0.25">
      <c r="A329" s="6" t="s">
        <v>358</v>
      </c>
      <c r="B329" t="str">
        <f t="shared" si="34"/>
        <v>-21561</v>
      </c>
      <c r="C329" t="str">
        <f t="shared" si="31"/>
        <v xml:space="preserve"> 54550</v>
      </c>
      <c r="D329" t="str">
        <f t="shared" si="32"/>
        <v xml:space="preserve"> 2</v>
      </c>
      <c r="E329" t="str">
        <f t="shared" si="33"/>
        <v xml:space="preserve"> -5</v>
      </c>
      <c r="F329" s="5">
        <f t="shared" si="29"/>
        <v>211</v>
      </c>
      <c r="G329" s="5">
        <f t="shared" si="30"/>
        <v>120</v>
      </c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</row>
    <row r="330" spans="1:350" x14ac:dyDescent="0.25">
      <c r="A330" s="6" t="s">
        <v>359</v>
      </c>
      <c r="B330" t="str">
        <f t="shared" si="34"/>
        <v xml:space="preserve"> 11071</v>
      </c>
      <c r="C330" t="str">
        <f t="shared" si="31"/>
        <v>-21653</v>
      </c>
      <c r="D330" t="str">
        <f t="shared" si="32"/>
        <v>-1</v>
      </c>
      <c r="E330" t="str">
        <f t="shared" si="33"/>
        <v xml:space="preserve">  2</v>
      </c>
      <c r="F330" s="5">
        <f t="shared" si="29"/>
        <v>185</v>
      </c>
      <c r="G330" s="5">
        <f t="shared" si="30"/>
        <v>119</v>
      </c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4"/>
      <c r="MI330" s="5"/>
      <c r="MJ330" s="5"/>
      <c r="MK330" s="5"/>
      <c r="ML330" s="5"/>
    </row>
    <row r="331" spans="1:350" x14ac:dyDescent="0.25">
      <c r="A331" s="6" t="s">
        <v>360</v>
      </c>
      <c r="B331" t="str">
        <f t="shared" si="34"/>
        <v>-32497</v>
      </c>
      <c r="C331" t="str">
        <f t="shared" si="31"/>
        <v>-54310</v>
      </c>
      <c r="D331" t="str">
        <f t="shared" si="32"/>
        <v xml:space="preserve"> 3</v>
      </c>
      <c r="E331" t="str">
        <f t="shared" si="33"/>
        <v xml:space="preserve">  5</v>
      </c>
      <c r="F331" s="5">
        <f t="shared" si="29"/>
        <v>161</v>
      </c>
      <c r="G331" s="5">
        <f t="shared" si="30"/>
        <v>120</v>
      </c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4"/>
      <c r="ME331" s="5"/>
      <c r="MF331" s="5"/>
      <c r="MG331" s="5"/>
      <c r="MH331" s="5"/>
      <c r="MI331" s="5"/>
      <c r="MJ331" s="5"/>
      <c r="MK331" s="5"/>
      <c r="ML331" s="5"/>
    </row>
    <row r="332" spans="1:350" x14ac:dyDescent="0.25">
      <c r="A332" s="6" t="s">
        <v>361</v>
      </c>
      <c r="B332" t="str">
        <f t="shared" si="34"/>
        <v xml:space="preserve"> 32871</v>
      </c>
      <c r="C332" t="str">
        <f t="shared" si="31"/>
        <v xml:space="preserve"> 43655</v>
      </c>
      <c r="D332" t="str">
        <f t="shared" si="32"/>
        <v>-3</v>
      </c>
      <c r="E332" t="str">
        <f t="shared" si="33"/>
        <v xml:space="preserve"> -4</v>
      </c>
      <c r="F332" s="5">
        <f t="shared" si="29"/>
        <v>213</v>
      </c>
      <c r="G332" s="5">
        <f t="shared" si="30"/>
        <v>111</v>
      </c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</row>
    <row r="333" spans="1:350" x14ac:dyDescent="0.25">
      <c r="A333" s="6" t="s">
        <v>362</v>
      </c>
      <c r="B333" t="str">
        <f t="shared" si="34"/>
        <v>-43371</v>
      </c>
      <c r="C333" t="str">
        <f t="shared" si="31"/>
        <v xml:space="preserve"> 32778</v>
      </c>
      <c r="D333" t="str">
        <f t="shared" si="32"/>
        <v xml:space="preserve"> 4</v>
      </c>
      <c r="E333" t="str">
        <f t="shared" si="33"/>
        <v xml:space="preserve"> -3</v>
      </c>
      <c r="F333" s="5">
        <f t="shared" si="29"/>
        <v>173</v>
      </c>
      <c r="G333" s="5">
        <f t="shared" si="30"/>
        <v>120</v>
      </c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</row>
    <row r="334" spans="1:350" x14ac:dyDescent="0.25">
      <c r="A334" s="6" t="s">
        <v>363</v>
      </c>
      <c r="B334" t="str">
        <f t="shared" si="34"/>
        <v>-21582</v>
      </c>
      <c r="C334" t="str">
        <f t="shared" si="31"/>
        <v>-54318</v>
      </c>
      <c r="D334" t="str">
        <f t="shared" si="32"/>
        <v xml:space="preserve"> 2</v>
      </c>
      <c r="E334" t="str">
        <f t="shared" si="33"/>
        <v xml:space="preserve">  5</v>
      </c>
      <c r="F334" s="5">
        <f t="shared" si="29"/>
        <v>190</v>
      </c>
      <c r="G334" s="5">
        <f t="shared" si="30"/>
        <v>112</v>
      </c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</row>
    <row r="335" spans="1:350" x14ac:dyDescent="0.25">
      <c r="A335" s="6" t="s">
        <v>364</v>
      </c>
      <c r="B335" t="str">
        <f t="shared" si="34"/>
        <v xml:space="preserve"> 11076</v>
      </c>
      <c r="C335" t="str">
        <f t="shared" si="31"/>
        <v>-21658</v>
      </c>
      <c r="D335" t="str">
        <f t="shared" si="32"/>
        <v>-1</v>
      </c>
      <c r="E335" t="str">
        <f t="shared" si="33"/>
        <v xml:space="preserve">  2</v>
      </c>
      <c r="F335" s="5">
        <f t="shared" si="29"/>
        <v>190</v>
      </c>
      <c r="G335" s="5">
        <f t="shared" si="30"/>
        <v>114</v>
      </c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4"/>
      <c r="MH335" s="5"/>
      <c r="MI335" s="5"/>
      <c r="MJ335" s="5"/>
      <c r="MK335" s="4"/>
      <c r="ML335" s="5"/>
    </row>
    <row r="336" spans="1:350" x14ac:dyDescent="0.25">
      <c r="A336" s="6" t="s">
        <v>365</v>
      </c>
      <c r="B336" t="str">
        <f t="shared" si="34"/>
        <v xml:space="preserve"> 43749</v>
      </c>
      <c r="C336" t="str">
        <f t="shared" si="31"/>
        <v xml:space="preserve"> 43655</v>
      </c>
      <c r="D336" t="str">
        <f t="shared" si="32"/>
        <v>-4</v>
      </c>
      <c r="E336" t="str">
        <f t="shared" si="33"/>
        <v xml:space="preserve"> -4</v>
      </c>
      <c r="F336" s="5">
        <f t="shared" si="29"/>
        <v>205</v>
      </c>
      <c r="G336" s="5">
        <f t="shared" si="30"/>
        <v>111</v>
      </c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4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</row>
    <row r="337" spans="1:350" x14ac:dyDescent="0.25">
      <c r="A337" s="6" t="s">
        <v>366</v>
      </c>
      <c r="B337" t="str">
        <f t="shared" si="34"/>
        <v xml:space="preserve"> 43754</v>
      </c>
      <c r="C337" t="str">
        <f t="shared" si="31"/>
        <v>-54319</v>
      </c>
      <c r="D337" t="str">
        <f t="shared" si="32"/>
        <v>-4</v>
      </c>
      <c r="E337" t="str">
        <f t="shared" si="33"/>
        <v xml:space="preserve">  5</v>
      </c>
      <c r="F337" s="5">
        <f t="shared" si="29"/>
        <v>210</v>
      </c>
      <c r="G337" s="5">
        <f t="shared" si="30"/>
        <v>111</v>
      </c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</row>
    <row r="338" spans="1:350" x14ac:dyDescent="0.25"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</row>
    <row r="339" spans="1:350" x14ac:dyDescent="0.25"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</row>
    <row r="340" spans="1:350" x14ac:dyDescent="0.25"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</row>
    <row r="341" spans="1:350" x14ac:dyDescent="0.25"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</row>
    <row r="342" spans="1:350" x14ac:dyDescent="0.25"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</row>
    <row r="343" spans="1:350" x14ac:dyDescent="0.25"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</row>
    <row r="344" spans="1:350" x14ac:dyDescent="0.25"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4"/>
      <c r="ML344" s="5"/>
    </row>
    <row r="345" spans="1:350" x14ac:dyDescent="0.25"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</row>
    <row r="346" spans="1:350" x14ac:dyDescent="0.25"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</row>
    <row r="347" spans="1:350" x14ac:dyDescent="0.25"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</row>
    <row r="348" spans="1:350" x14ac:dyDescent="0.25"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</row>
    <row r="349" spans="1:350" x14ac:dyDescent="0.25"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</row>
    <row r="350" spans="1:350" x14ac:dyDescent="0.25"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6E460-571D-4FB2-AC40-9AF8F3C884D9}">
  <sheetPr codeName="Sheet1"/>
  <dimension ref="A1:BR70"/>
  <sheetViews>
    <sheetView zoomScale="25" zoomScaleNormal="25" workbookViewId="0">
      <selection activeCell="DR63" sqref="DR62:DR63"/>
    </sheetView>
  </sheetViews>
  <sheetFormatPr defaultRowHeight="15" x14ac:dyDescent="0.25"/>
  <cols>
    <col min="1" max="1" width="45.85546875" style="2" customWidth="1"/>
    <col min="6" max="11" width="9.140625" style="5"/>
    <col min="12" max="48" width="3.85546875" style="5" customWidth="1"/>
    <col min="49" max="99" width="3.85546875" customWidth="1"/>
  </cols>
  <sheetData>
    <row r="1" spans="1:9" x14ac:dyDescent="0.25">
      <c r="H1" s="5" t="s">
        <v>31</v>
      </c>
      <c r="I1" s="5">
        <v>3</v>
      </c>
    </row>
    <row r="2" spans="1:9" x14ac:dyDescent="0.25">
      <c r="A2" s="1" t="s">
        <v>0</v>
      </c>
      <c r="B2" t="str">
        <f>MID(A2,11,2)</f>
        <v xml:space="preserve"> 9</v>
      </c>
      <c r="C2" t="str">
        <f>MID(A2,14,3)</f>
        <v xml:space="preserve">  1</v>
      </c>
      <c r="D2" t="str">
        <f>MID(A2,29,2)</f>
        <v xml:space="preserve"> 0</v>
      </c>
      <c r="E2" t="str">
        <f>MID(A2,32,3)</f>
        <v xml:space="preserve">  2</v>
      </c>
      <c r="F2" s="5">
        <f>B2+(D2*$I$1)</f>
        <v>9</v>
      </c>
      <c r="G2" s="5">
        <f>C2+(E2*$I$1)</f>
        <v>7</v>
      </c>
    </row>
    <row r="3" spans="1:9" x14ac:dyDescent="0.25">
      <c r="A3" s="1" t="s">
        <v>1</v>
      </c>
      <c r="B3" t="str">
        <f t="shared" ref="B3:B32" si="0">MID(A3,11,2)</f>
        <v xml:space="preserve"> 7</v>
      </c>
      <c r="C3" t="str">
        <f t="shared" ref="C3:C32" si="1">MID(A3,14,3)</f>
        <v xml:space="preserve">  0</v>
      </c>
      <c r="D3" t="str">
        <f t="shared" ref="D3:D32" si="2">MID(A3,29,2)</f>
        <v>-1</v>
      </c>
      <c r="E3" t="str">
        <f t="shared" ref="E3:E32" si="3">MID(A3,32,3)</f>
        <v xml:space="preserve">  0</v>
      </c>
      <c r="F3" s="5">
        <f t="shared" ref="F3:F32" si="4">B3+(D3*$I$1)</f>
        <v>4</v>
      </c>
      <c r="G3" s="5">
        <f t="shared" ref="G3:G32" si="5">C3+(E3*$I$1)</f>
        <v>0</v>
      </c>
    </row>
    <row r="4" spans="1:9" x14ac:dyDescent="0.25">
      <c r="A4" s="1" t="s">
        <v>2</v>
      </c>
      <c r="B4" t="str">
        <f t="shared" si="0"/>
        <v xml:space="preserve"> 3</v>
      </c>
      <c r="C4" t="str">
        <f t="shared" si="1"/>
        <v xml:space="preserve"> -2</v>
      </c>
      <c r="D4" t="str">
        <f t="shared" si="2"/>
        <v>-1</v>
      </c>
      <c r="E4" t="str">
        <f t="shared" si="3"/>
        <v xml:space="preserve">  1</v>
      </c>
      <c r="F4" s="5">
        <f t="shared" si="4"/>
        <v>0</v>
      </c>
      <c r="G4" s="5">
        <f t="shared" si="5"/>
        <v>1</v>
      </c>
    </row>
    <row r="5" spans="1:9" x14ac:dyDescent="0.25">
      <c r="A5" s="1" t="s">
        <v>3</v>
      </c>
      <c r="B5" t="str">
        <f t="shared" si="0"/>
        <v xml:space="preserve"> 6</v>
      </c>
      <c r="C5" t="str">
        <f t="shared" si="1"/>
        <v xml:space="preserve"> 10</v>
      </c>
      <c r="D5" t="str">
        <f t="shared" si="2"/>
        <v>-2</v>
      </c>
      <c r="E5" t="str">
        <f t="shared" si="3"/>
        <v xml:space="preserve"> -1</v>
      </c>
      <c r="F5" s="5">
        <f t="shared" si="4"/>
        <v>0</v>
      </c>
      <c r="G5" s="5">
        <f t="shared" si="5"/>
        <v>7</v>
      </c>
    </row>
    <row r="6" spans="1:9" x14ac:dyDescent="0.25">
      <c r="A6" s="1" t="s">
        <v>4</v>
      </c>
      <c r="B6" t="str">
        <f t="shared" si="0"/>
        <v xml:space="preserve"> 2</v>
      </c>
      <c r="C6" t="str">
        <f t="shared" si="1"/>
        <v xml:space="preserve"> -4</v>
      </c>
      <c r="D6" t="str">
        <f t="shared" si="2"/>
        <v xml:space="preserve"> 2</v>
      </c>
      <c r="E6" t="str">
        <f t="shared" si="3"/>
        <v xml:space="preserve">  2</v>
      </c>
      <c r="F6" s="5">
        <f t="shared" si="4"/>
        <v>8</v>
      </c>
      <c r="G6" s="5">
        <f t="shared" si="5"/>
        <v>2</v>
      </c>
    </row>
    <row r="7" spans="1:9" x14ac:dyDescent="0.25">
      <c r="A7" s="1" t="s">
        <v>5</v>
      </c>
      <c r="B7" t="str">
        <f t="shared" si="0"/>
        <v>-6</v>
      </c>
      <c r="C7" t="str">
        <f t="shared" si="1"/>
        <v xml:space="preserve"> 10</v>
      </c>
      <c r="D7" t="str">
        <f t="shared" si="2"/>
        <v xml:space="preserve"> 2</v>
      </c>
      <c r="E7" t="str">
        <f t="shared" si="3"/>
        <v xml:space="preserve"> -2</v>
      </c>
      <c r="F7" s="5">
        <f t="shared" si="4"/>
        <v>0</v>
      </c>
      <c r="G7" s="5">
        <f t="shared" si="5"/>
        <v>4</v>
      </c>
    </row>
    <row r="8" spans="1:9" x14ac:dyDescent="0.25">
      <c r="A8" s="1" t="s">
        <v>6</v>
      </c>
      <c r="B8" t="str">
        <f t="shared" si="0"/>
        <v xml:space="preserve"> 1</v>
      </c>
      <c r="C8" t="str">
        <f t="shared" si="1"/>
        <v xml:space="preserve">  8</v>
      </c>
      <c r="D8" t="str">
        <f t="shared" si="2"/>
        <v xml:space="preserve"> 1</v>
      </c>
      <c r="E8" t="str">
        <f t="shared" si="3"/>
        <v xml:space="preserve"> -1</v>
      </c>
      <c r="F8" s="5">
        <f t="shared" si="4"/>
        <v>4</v>
      </c>
      <c r="G8" s="5">
        <f t="shared" si="5"/>
        <v>5</v>
      </c>
    </row>
    <row r="9" spans="1:9" x14ac:dyDescent="0.25">
      <c r="A9" s="1" t="s">
        <v>7</v>
      </c>
      <c r="B9" t="str">
        <f t="shared" si="0"/>
        <v xml:space="preserve"> 1</v>
      </c>
      <c r="C9" t="str">
        <f t="shared" si="1"/>
        <v xml:space="preserve">  7</v>
      </c>
      <c r="D9" t="str">
        <f t="shared" si="2"/>
        <v xml:space="preserve"> 1</v>
      </c>
      <c r="E9" t="str">
        <f t="shared" si="3"/>
        <v xml:space="preserve">  0</v>
      </c>
      <c r="F9" s="5">
        <f t="shared" si="4"/>
        <v>4</v>
      </c>
      <c r="G9" s="5">
        <f t="shared" si="5"/>
        <v>7</v>
      </c>
    </row>
    <row r="10" spans="1:9" x14ac:dyDescent="0.25">
      <c r="A10" s="1" t="s">
        <v>8</v>
      </c>
      <c r="B10" t="str">
        <f t="shared" si="0"/>
        <v>-3</v>
      </c>
      <c r="C10" t="str">
        <f t="shared" si="1"/>
        <v xml:space="preserve"> 11</v>
      </c>
      <c r="D10" t="str">
        <f t="shared" si="2"/>
        <v xml:space="preserve"> 1</v>
      </c>
      <c r="E10" t="str">
        <f t="shared" si="3"/>
        <v xml:space="preserve"> -2</v>
      </c>
      <c r="F10" s="5">
        <f t="shared" si="4"/>
        <v>0</v>
      </c>
      <c r="G10" s="5">
        <f t="shared" si="5"/>
        <v>5</v>
      </c>
    </row>
    <row r="11" spans="1:9" x14ac:dyDescent="0.25">
      <c r="A11" s="1" t="s">
        <v>9</v>
      </c>
      <c r="B11" t="str">
        <f t="shared" si="0"/>
        <v xml:space="preserve"> 7</v>
      </c>
      <c r="C11" t="str">
        <f t="shared" si="1"/>
        <v xml:space="preserve">  6</v>
      </c>
      <c r="D11" t="str">
        <f t="shared" si="2"/>
        <v>-1</v>
      </c>
      <c r="E11" t="str">
        <f t="shared" si="3"/>
        <v xml:space="preserve"> -1</v>
      </c>
      <c r="F11" s="5">
        <f t="shared" si="4"/>
        <v>4</v>
      </c>
      <c r="G11" s="5">
        <f t="shared" si="5"/>
        <v>3</v>
      </c>
    </row>
    <row r="12" spans="1:9" x14ac:dyDescent="0.25">
      <c r="A12" s="1" t="s">
        <v>10</v>
      </c>
      <c r="B12" t="str">
        <f t="shared" si="0"/>
        <v>-2</v>
      </c>
      <c r="C12" t="str">
        <f t="shared" si="1"/>
        <v xml:space="preserve">  3</v>
      </c>
      <c r="D12" t="str">
        <f t="shared" si="2"/>
        <v xml:space="preserve"> 1</v>
      </c>
      <c r="E12" t="str">
        <f t="shared" si="3"/>
        <v xml:space="preserve">  0</v>
      </c>
      <c r="F12" s="5">
        <f t="shared" si="4"/>
        <v>1</v>
      </c>
      <c r="G12" s="5">
        <f t="shared" si="5"/>
        <v>3</v>
      </c>
    </row>
    <row r="13" spans="1:9" x14ac:dyDescent="0.25">
      <c r="A13" s="1" t="s">
        <v>11</v>
      </c>
      <c r="B13" t="str">
        <f t="shared" si="0"/>
        <v>-4</v>
      </c>
      <c r="C13" t="str">
        <f t="shared" si="1"/>
        <v xml:space="preserve">  3</v>
      </c>
      <c r="D13" t="str">
        <f t="shared" si="2"/>
        <v xml:space="preserve"> 2</v>
      </c>
      <c r="E13" t="str">
        <f t="shared" si="3"/>
        <v xml:space="preserve">  0</v>
      </c>
      <c r="F13" s="5">
        <f t="shared" si="4"/>
        <v>2</v>
      </c>
      <c r="G13" s="5">
        <f t="shared" si="5"/>
        <v>3</v>
      </c>
    </row>
    <row r="14" spans="1:9" x14ac:dyDescent="0.25">
      <c r="A14" s="1" t="s">
        <v>12</v>
      </c>
      <c r="B14" t="str">
        <f t="shared" si="0"/>
        <v>10</v>
      </c>
      <c r="C14" t="str">
        <f t="shared" si="1"/>
        <v xml:space="preserve"> -3</v>
      </c>
      <c r="D14" t="str">
        <f t="shared" si="2"/>
        <v>-1</v>
      </c>
      <c r="E14" t="str">
        <f t="shared" si="3"/>
        <v xml:space="preserve">  1</v>
      </c>
      <c r="F14" s="5">
        <f t="shared" si="4"/>
        <v>7</v>
      </c>
      <c r="G14" s="5">
        <f t="shared" si="5"/>
        <v>0</v>
      </c>
    </row>
    <row r="15" spans="1:9" x14ac:dyDescent="0.25">
      <c r="A15" s="1" t="s">
        <v>13</v>
      </c>
      <c r="B15" t="str">
        <f t="shared" si="0"/>
        <v xml:space="preserve"> 5</v>
      </c>
      <c r="C15" t="str">
        <f t="shared" si="1"/>
        <v xml:space="preserve"> 11</v>
      </c>
      <c r="D15" t="str">
        <f t="shared" si="2"/>
        <v xml:space="preserve"> 1</v>
      </c>
      <c r="E15" t="str">
        <f t="shared" si="3"/>
        <v xml:space="preserve"> -2</v>
      </c>
      <c r="F15" s="5">
        <f t="shared" si="4"/>
        <v>8</v>
      </c>
      <c r="G15" s="5">
        <f t="shared" si="5"/>
        <v>5</v>
      </c>
    </row>
    <row r="16" spans="1:9" x14ac:dyDescent="0.25">
      <c r="A16" s="1" t="s">
        <v>14</v>
      </c>
      <c r="B16" t="str">
        <f t="shared" si="0"/>
        <v xml:space="preserve"> 4</v>
      </c>
      <c r="C16" t="str">
        <f t="shared" si="1"/>
        <v xml:space="preserve">  7</v>
      </c>
      <c r="D16" t="str">
        <f t="shared" si="2"/>
        <v xml:space="preserve"> 0</v>
      </c>
      <c r="E16" t="str">
        <f t="shared" si="3"/>
        <v xml:space="preserve"> -1</v>
      </c>
      <c r="F16" s="5">
        <f t="shared" si="4"/>
        <v>4</v>
      </c>
      <c r="G16" s="5">
        <f t="shared" si="5"/>
        <v>4</v>
      </c>
    </row>
    <row r="17" spans="1:70" x14ac:dyDescent="0.25">
      <c r="A17" s="1" t="s">
        <v>15</v>
      </c>
      <c r="B17" t="str">
        <f t="shared" si="0"/>
        <v xml:space="preserve"> 8</v>
      </c>
      <c r="C17" t="str">
        <f t="shared" si="1"/>
        <v xml:space="preserve"> -2</v>
      </c>
      <c r="D17" t="str">
        <f t="shared" si="2"/>
        <v xml:space="preserve"> 0</v>
      </c>
      <c r="E17" t="str">
        <f t="shared" si="3"/>
        <v xml:space="preserve">  1</v>
      </c>
      <c r="F17" s="5">
        <f t="shared" si="4"/>
        <v>8</v>
      </c>
      <c r="G17" s="5">
        <f t="shared" si="5"/>
        <v>1</v>
      </c>
    </row>
    <row r="18" spans="1:70" x14ac:dyDescent="0.25">
      <c r="A18" s="1" t="s">
        <v>16</v>
      </c>
      <c r="B18" t="str">
        <f t="shared" si="0"/>
        <v>15</v>
      </c>
      <c r="C18" t="str">
        <f t="shared" si="1"/>
        <v xml:space="preserve">  0</v>
      </c>
      <c r="D18" t="str">
        <f t="shared" si="2"/>
        <v>-2</v>
      </c>
      <c r="E18" t="str">
        <f t="shared" si="3"/>
        <v xml:space="preserve">  0</v>
      </c>
      <c r="F18" s="5">
        <f t="shared" si="4"/>
        <v>9</v>
      </c>
      <c r="G18" s="5">
        <f t="shared" si="5"/>
        <v>0</v>
      </c>
    </row>
    <row r="19" spans="1:70" x14ac:dyDescent="0.25">
      <c r="A19" s="1" t="s">
        <v>17</v>
      </c>
      <c r="B19" t="str">
        <f t="shared" si="0"/>
        <v xml:space="preserve"> 1</v>
      </c>
      <c r="C19" t="str">
        <f t="shared" si="1"/>
        <v xml:space="preserve">  6</v>
      </c>
      <c r="D19" t="str">
        <f t="shared" si="2"/>
        <v xml:space="preserve"> 1</v>
      </c>
      <c r="E19" t="str">
        <f t="shared" si="3"/>
        <v xml:space="preserve">  0</v>
      </c>
      <c r="F19" s="5">
        <f t="shared" si="4"/>
        <v>4</v>
      </c>
      <c r="G19" s="5">
        <f t="shared" si="5"/>
        <v>6</v>
      </c>
    </row>
    <row r="20" spans="1:70" x14ac:dyDescent="0.25">
      <c r="A20" s="1" t="s">
        <v>18</v>
      </c>
      <c r="B20" t="str">
        <f t="shared" si="0"/>
        <v xml:space="preserve"> 8</v>
      </c>
      <c r="C20" t="str">
        <f t="shared" si="1"/>
        <v xml:space="preserve">  9</v>
      </c>
      <c r="D20" t="str">
        <f t="shared" si="2"/>
        <v xml:space="preserve"> 0</v>
      </c>
      <c r="E20" t="str">
        <f t="shared" si="3"/>
        <v xml:space="preserve"> -1</v>
      </c>
      <c r="F20" s="5">
        <f t="shared" si="4"/>
        <v>8</v>
      </c>
      <c r="G20" s="5">
        <f t="shared" si="5"/>
        <v>6</v>
      </c>
    </row>
    <row r="21" spans="1:70" x14ac:dyDescent="0.25">
      <c r="A21" s="1" t="s">
        <v>19</v>
      </c>
      <c r="B21" t="str">
        <f t="shared" si="0"/>
        <v xml:space="preserve"> 3</v>
      </c>
      <c r="C21" t="str">
        <f t="shared" si="1"/>
        <v xml:space="preserve">  3</v>
      </c>
      <c r="D21" t="str">
        <f t="shared" si="2"/>
        <v>-1</v>
      </c>
      <c r="E21" t="str">
        <f t="shared" si="3"/>
        <v xml:space="preserve">  1</v>
      </c>
      <c r="F21" s="5">
        <f t="shared" si="4"/>
        <v>0</v>
      </c>
      <c r="G21" s="5">
        <f t="shared" si="5"/>
        <v>6</v>
      </c>
    </row>
    <row r="22" spans="1:70" x14ac:dyDescent="0.25">
      <c r="A22" s="1" t="s">
        <v>20</v>
      </c>
      <c r="B22" t="str">
        <f t="shared" si="0"/>
        <v xml:space="preserve"> 0</v>
      </c>
      <c r="C22" t="str">
        <f t="shared" si="1"/>
        <v xml:space="preserve">  5</v>
      </c>
      <c r="D22" t="str">
        <f t="shared" si="2"/>
        <v xml:space="preserve"> 0</v>
      </c>
      <c r="E22" t="str">
        <f t="shared" si="3"/>
        <v xml:space="preserve"> -1</v>
      </c>
      <c r="F22" s="5">
        <f t="shared" si="4"/>
        <v>0</v>
      </c>
      <c r="G22" s="5">
        <f t="shared" si="5"/>
        <v>2</v>
      </c>
    </row>
    <row r="23" spans="1:70" x14ac:dyDescent="0.25">
      <c r="A23" s="1" t="s">
        <v>21</v>
      </c>
      <c r="B23" t="str">
        <f t="shared" si="0"/>
        <v>-2</v>
      </c>
      <c r="C23" t="str">
        <f t="shared" si="1"/>
        <v xml:space="preserve">  2</v>
      </c>
      <c r="D23" t="str">
        <f t="shared" si="2"/>
        <v xml:space="preserve"> 2</v>
      </c>
      <c r="E23" t="str">
        <f t="shared" si="3"/>
        <v xml:space="preserve">  0</v>
      </c>
      <c r="F23" s="5">
        <f t="shared" si="4"/>
        <v>4</v>
      </c>
      <c r="G23" s="5">
        <f t="shared" si="5"/>
        <v>2</v>
      </c>
    </row>
    <row r="24" spans="1:70" x14ac:dyDescent="0.25">
      <c r="A24" s="1" t="s">
        <v>22</v>
      </c>
      <c r="B24" t="str">
        <f t="shared" si="0"/>
        <v xml:space="preserve"> 5</v>
      </c>
      <c r="C24" t="str">
        <f t="shared" si="1"/>
        <v xml:space="preserve"> -2</v>
      </c>
      <c r="D24" t="str">
        <f t="shared" si="2"/>
        <v xml:space="preserve"> 1</v>
      </c>
      <c r="E24" t="str">
        <f t="shared" si="3"/>
        <v xml:space="preserve">  2</v>
      </c>
      <c r="F24" s="5">
        <f t="shared" si="4"/>
        <v>8</v>
      </c>
      <c r="G24" s="5">
        <f t="shared" si="5"/>
        <v>4</v>
      </c>
    </row>
    <row r="25" spans="1:70" x14ac:dyDescent="0.25">
      <c r="A25" s="1" t="s">
        <v>23</v>
      </c>
      <c r="B25" t="str">
        <f t="shared" si="0"/>
        <v xml:space="preserve"> 1</v>
      </c>
      <c r="C25" t="str">
        <f t="shared" si="1"/>
        <v xml:space="preserve">  4</v>
      </c>
      <c r="D25" t="str">
        <f t="shared" si="2"/>
        <v xml:space="preserve"> 2</v>
      </c>
      <c r="E25" t="str">
        <f t="shared" si="3"/>
        <v xml:space="preserve">  1</v>
      </c>
      <c r="F25" s="5">
        <f t="shared" si="4"/>
        <v>7</v>
      </c>
      <c r="G25" s="5">
        <f t="shared" si="5"/>
        <v>7</v>
      </c>
    </row>
    <row r="26" spans="1:70" x14ac:dyDescent="0.25">
      <c r="A26" s="1" t="s">
        <v>24</v>
      </c>
      <c r="B26" t="str">
        <f t="shared" si="0"/>
        <v>-2</v>
      </c>
      <c r="C26" t="str">
        <f t="shared" si="1"/>
        <v xml:space="preserve">  7</v>
      </c>
      <c r="D26" t="str">
        <f t="shared" si="2"/>
        <v xml:space="preserve"> 2</v>
      </c>
      <c r="E26" t="str">
        <f t="shared" si="3"/>
        <v xml:space="preserve"> -2</v>
      </c>
      <c r="F26" s="5">
        <f t="shared" si="4"/>
        <v>4</v>
      </c>
      <c r="G26" s="5">
        <f t="shared" si="5"/>
        <v>1</v>
      </c>
    </row>
    <row r="27" spans="1:70" x14ac:dyDescent="0.25">
      <c r="A27" s="1" t="s">
        <v>25</v>
      </c>
      <c r="B27" t="str">
        <f t="shared" si="0"/>
        <v xml:space="preserve"> 3</v>
      </c>
      <c r="C27" t="str">
        <f t="shared" si="1"/>
        <v xml:space="preserve">  6</v>
      </c>
      <c r="D27" t="str">
        <f t="shared" si="2"/>
        <v>-1</v>
      </c>
      <c r="E27" t="str">
        <f t="shared" si="3"/>
        <v xml:space="preserve"> -1</v>
      </c>
      <c r="F27" s="5">
        <f t="shared" si="4"/>
        <v>0</v>
      </c>
      <c r="G27" s="5">
        <f t="shared" si="5"/>
        <v>3</v>
      </c>
    </row>
    <row r="28" spans="1:70" x14ac:dyDescent="0.25">
      <c r="A28" s="1" t="s">
        <v>26</v>
      </c>
      <c r="B28" t="str">
        <f t="shared" si="0"/>
        <v xml:space="preserve"> 5</v>
      </c>
      <c r="C28" t="str">
        <f t="shared" si="1"/>
        <v xml:space="preserve">  0</v>
      </c>
      <c r="D28" t="str">
        <f t="shared" si="2"/>
        <v xml:space="preserve"> 1</v>
      </c>
      <c r="E28" t="str">
        <f t="shared" si="3"/>
        <v xml:space="preserve">  0</v>
      </c>
      <c r="F28" s="5">
        <f t="shared" si="4"/>
        <v>8</v>
      </c>
      <c r="G28" s="5">
        <f t="shared" si="5"/>
        <v>0</v>
      </c>
    </row>
    <row r="29" spans="1:70" x14ac:dyDescent="0.25">
      <c r="A29" s="1" t="s">
        <v>27</v>
      </c>
      <c r="B29" t="str">
        <f t="shared" si="0"/>
        <v>-6</v>
      </c>
      <c r="C29" t="str">
        <f t="shared" si="1"/>
        <v xml:space="preserve">  0</v>
      </c>
      <c r="D29" t="str">
        <f t="shared" si="2"/>
        <v xml:space="preserve"> 2</v>
      </c>
      <c r="E29" t="str">
        <f t="shared" si="3"/>
        <v xml:space="preserve">  0</v>
      </c>
      <c r="F29" s="5">
        <f t="shared" si="4"/>
        <v>0</v>
      </c>
      <c r="G29" s="5">
        <f t="shared" si="5"/>
        <v>0</v>
      </c>
    </row>
    <row r="30" spans="1:70" x14ac:dyDescent="0.25">
      <c r="A30" s="1" t="s">
        <v>28</v>
      </c>
      <c r="B30" t="str">
        <f t="shared" si="0"/>
        <v xml:space="preserve"> 5</v>
      </c>
      <c r="C30" t="str">
        <f t="shared" si="1"/>
        <v xml:space="preserve">  9</v>
      </c>
      <c r="D30" t="str">
        <f t="shared" si="2"/>
        <v xml:space="preserve"> 1</v>
      </c>
      <c r="E30" t="str">
        <f t="shared" si="3"/>
        <v xml:space="preserve"> -2</v>
      </c>
      <c r="F30" s="5">
        <f t="shared" si="4"/>
        <v>8</v>
      </c>
      <c r="G30" s="5">
        <f t="shared" si="5"/>
        <v>3</v>
      </c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</row>
    <row r="31" spans="1:70" x14ac:dyDescent="0.25">
      <c r="A31" s="1" t="s">
        <v>29</v>
      </c>
      <c r="B31" t="str">
        <f t="shared" si="0"/>
        <v>14</v>
      </c>
      <c r="C31" t="str">
        <f t="shared" si="1"/>
        <v xml:space="preserve">  7</v>
      </c>
      <c r="D31" t="str">
        <f t="shared" si="2"/>
        <v>-2</v>
      </c>
      <c r="E31" t="str">
        <f t="shared" si="3"/>
        <v xml:space="preserve">  0</v>
      </c>
      <c r="F31" s="5">
        <f t="shared" si="4"/>
        <v>8</v>
      </c>
      <c r="G31" s="5">
        <f t="shared" si="5"/>
        <v>7</v>
      </c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</row>
    <row r="32" spans="1:70" x14ac:dyDescent="0.25">
      <c r="A32" s="3" t="s">
        <v>30</v>
      </c>
      <c r="B32" t="str">
        <f t="shared" si="0"/>
        <v>-3</v>
      </c>
      <c r="C32" t="str">
        <f t="shared" si="1"/>
        <v xml:space="preserve">  6</v>
      </c>
      <c r="D32" t="str">
        <f t="shared" si="2"/>
        <v xml:space="preserve"> 2</v>
      </c>
      <c r="E32" t="str">
        <f t="shared" si="3"/>
        <v xml:space="preserve"> -1</v>
      </c>
      <c r="F32" s="5">
        <f t="shared" si="4"/>
        <v>3</v>
      </c>
      <c r="G32" s="5">
        <f t="shared" si="5"/>
        <v>3</v>
      </c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</row>
    <row r="33" spans="49:70" x14ac:dyDescent="0.25"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</row>
    <row r="34" spans="49:70" x14ac:dyDescent="0.25"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</row>
    <row r="35" spans="49:70" x14ac:dyDescent="0.25"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</row>
    <row r="36" spans="49:70" x14ac:dyDescent="0.25"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</row>
    <row r="37" spans="49:70" x14ac:dyDescent="0.25"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</row>
    <row r="38" spans="49:70" x14ac:dyDescent="0.25"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</row>
    <row r="39" spans="49:70" x14ac:dyDescent="0.25"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</row>
    <row r="40" spans="49:70" x14ac:dyDescent="0.25"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</row>
    <row r="41" spans="49:70" x14ac:dyDescent="0.25"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</row>
    <row r="42" spans="49:70" x14ac:dyDescent="0.25"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</row>
    <row r="43" spans="49:70" x14ac:dyDescent="0.25"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</row>
    <row r="44" spans="49:70" x14ac:dyDescent="0.25"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</row>
    <row r="45" spans="49:70" x14ac:dyDescent="0.25"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</row>
    <row r="46" spans="49:70" x14ac:dyDescent="0.25"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</row>
    <row r="47" spans="49:70" x14ac:dyDescent="0.25"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</row>
    <row r="48" spans="49:70" x14ac:dyDescent="0.25"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</row>
    <row r="49" spans="49:70" x14ac:dyDescent="0.25"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</row>
    <row r="50" spans="49:70" x14ac:dyDescent="0.25">
      <c r="AW50" s="5"/>
      <c r="AX50" s="4"/>
      <c r="AY50" s="5"/>
      <c r="AZ50" s="5"/>
      <c r="BA50" s="5"/>
      <c r="BB50" s="4"/>
      <c r="BC50" s="5"/>
      <c r="BD50" s="5"/>
      <c r="BE50" s="4"/>
      <c r="BF50" s="4"/>
      <c r="BG50" s="4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</row>
    <row r="51" spans="49:70" x14ac:dyDescent="0.25">
      <c r="AW51" s="5"/>
      <c r="AX51" s="4"/>
      <c r="AY51" s="5"/>
      <c r="AZ51" s="5"/>
      <c r="BA51" s="5"/>
      <c r="BB51" s="4"/>
      <c r="BC51" s="5"/>
      <c r="BD51" s="5"/>
      <c r="BE51" s="5"/>
      <c r="BF51" s="4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</row>
    <row r="52" spans="49:70" x14ac:dyDescent="0.25">
      <c r="AW52" s="5"/>
      <c r="AX52" s="4"/>
      <c r="AY52" s="5"/>
      <c r="AZ52" s="5"/>
      <c r="BA52" s="5"/>
      <c r="BB52" s="4"/>
      <c r="BC52" s="5"/>
      <c r="BD52" s="5"/>
      <c r="BE52" s="5"/>
      <c r="BF52" s="4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</row>
    <row r="53" spans="49:70" x14ac:dyDescent="0.25">
      <c r="AW53" s="5"/>
      <c r="AX53" s="4"/>
      <c r="AY53" s="4"/>
      <c r="AZ53" s="4"/>
      <c r="BA53" s="4"/>
      <c r="BB53" s="4"/>
      <c r="BC53" s="5"/>
      <c r="BD53" s="5"/>
      <c r="BE53" s="5"/>
      <c r="BF53" s="4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</row>
    <row r="54" spans="49:70" x14ac:dyDescent="0.25">
      <c r="AW54" s="5"/>
      <c r="AX54" s="4"/>
      <c r="AY54" s="5"/>
      <c r="AZ54" s="5"/>
      <c r="BA54" s="5"/>
      <c r="BB54" s="4"/>
      <c r="BC54" s="5"/>
      <c r="BD54" s="5"/>
      <c r="BE54" s="5"/>
      <c r="BF54" s="4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</row>
    <row r="55" spans="49:70" x14ac:dyDescent="0.25">
      <c r="AW55" s="5"/>
      <c r="AX55" s="4"/>
      <c r="AY55" s="5"/>
      <c r="AZ55" s="5"/>
      <c r="BA55" s="5"/>
      <c r="BB55" s="4"/>
      <c r="BC55" s="5"/>
      <c r="BD55" s="5"/>
      <c r="BE55" s="5"/>
      <c r="BF55" s="4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</row>
    <row r="56" spans="49:70" x14ac:dyDescent="0.25">
      <c r="AW56" s="5"/>
      <c r="AX56" s="4"/>
      <c r="AY56" s="5"/>
      <c r="AZ56" s="5"/>
      <c r="BA56" s="5"/>
      <c r="BB56" s="4"/>
      <c r="BC56" s="5"/>
      <c r="BD56" s="5"/>
      <c r="BE56" s="5"/>
      <c r="BF56" s="4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</row>
    <row r="57" spans="49:70" x14ac:dyDescent="0.25">
      <c r="AW57" s="5"/>
      <c r="AX57" s="4"/>
      <c r="AY57" s="5"/>
      <c r="AZ57" s="5"/>
      <c r="BA57" s="5"/>
      <c r="BB57" s="4"/>
      <c r="BC57" s="5"/>
      <c r="BD57" s="5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</row>
    <row r="58" spans="49:70" x14ac:dyDescent="0.25"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</row>
    <row r="59" spans="49:70" x14ac:dyDescent="0.25"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</row>
    <row r="60" spans="49:70" x14ac:dyDescent="0.25"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</row>
    <row r="61" spans="49:70" x14ac:dyDescent="0.25"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</row>
    <row r="62" spans="49:70" x14ac:dyDescent="0.25"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</row>
    <row r="63" spans="49:70" x14ac:dyDescent="0.25"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</row>
    <row r="64" spans="49:70" x14ac:dyDescent="0.25"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</row>
    <row r="65" spans="49:70" x14ac:dyDescent="0.25"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</row>
    <row r="66" spans="49:70" x14ac:dyDescent="0.25"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</row>
    <row r="67" spans="49:70" x14ac:dyDescent="0.25"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</row>
    <row r="68" spans="49:70" x14ac:dyDescent="0.25"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</row>
    <row r="69" spans="49:70" x14ac:dyDescent="0.25"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</row>
    <row r="70" spans="49:70" x14ac:dyDescent="0.25"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Rowan Stevens</dc:creator>
  <cp:lastModifiedBy>Rowan Stevens</cp:lastModifiedBy>
  <dcterms:created xsi:type="dcterms:W3CDTF">2018-12-10T18:08:16Z</dcterms:created>
  <dcterms:modified xsi:type="dcterms:W3CDTF">2018-12-10T20:36:32Z</dcterms:modified>
</cp:coreProperties>
</file>